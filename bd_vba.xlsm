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22a4fc6c8f36832/Documentos/Portfolio/excel_bd/"/>
    </mc:Choice>
  </mc:AlternateContent>
  <xr:revisionPtr revIDLastSave="23494" documentId="13_ncr:1_{75752008-1934-4E80-81C2-45B3FD5674C8}" xr6:coauthVersionLast="47" xr6:coauthVersionMax="47" xr10:uidLastSave="{B3709AB9-BCB4-4A30-9AE7-D3E52992C92D}"/>
  <bookViews>
    <workbookView xWindow="-108" yWindow="-108" windowWidth="23256" windowHeight="12456" xr2:uid="{D245F83B-9DA8-4435-A552-044BA2916ED0}"/>
  </bookViews>
  <sheets>
    <sheet name="automation" sheetId="2" r:id="rId1"/>
    <sheet name="test_sheet" sheetId="4" r:id="rId2"/>
    <sheet name="software" sheetId="3" r:id="rId3"/>
    <sheet name="open_jobs_companies" sheetId="6" r:id="rId4"/>
    <sheet name="hospitality" sheetId="5" r:id="rId5"/>
    <sheet name="all_industries" sheetId="7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5" i="6" l="1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2" i="3"/>
</calcChain>
</file>

<file path=xl/sharedStrings.xml><?xml version="1.0" encoding="utf-8"?>
<sst xmlns="http://schemas.openxmlformats.org/spreadsheetml/2006/main" count="1823" uniqueCount="262">
  <si>
    <t>Cleaning</t>
  </si>
  <si>
    <t xml:space="preserve">Formatting </t>
  </si>
  <si>
    <t xml:space="preserve">New Sheet </t>
  </si>
  <si>
    <t>Company</t>
  </si>
  <si>
    <t>Industry</t>
  </si>
  <si>
    <t>Number of Employees</t>
  </si>
  <si>
    <t>City</t>
  </si>
  <si>
    <t>State</t>
  </si>
  <si>
    <t>First Name</t>
  </si>
  <si>
    <t>Last Name</t>
  </si>
  <si>
    <t>Title</t>
  </si>
  <si>
    <t>Primary Email</t>
  </si>
  <si>
    <t>Phone Number</t>
  </si>
  <si>
    <t>Sequence Step</t>
  </si>
  <si>
    <t>Sequence Status</t>
  </si>
  <si>
    <t>Deal Status</t>
  </si>
  <si>
    <t>n/a</t>
  </si>
  <si>
    <t>New York</t>
  </si>
  <si>
    <t>Date</t>
  </si>
  <si>
    <t>COO</t>
  </si>
  <si>
    <t>Delivered</t>
  </si>
  <si>
    <t>CFO</t>
  </si>
  <si>
    <t>CMO</t>
  </si>
  <si>
    <t>CRO</t>
  </si>
  <si>
    <t>CPO</t>
  </si>
  <si>
    <t>Head of Talent</t>
  </si>
  <si>
    <t>Recruiting Manager</t>
  </si>
  <si>
    <t>Chief Marketing &amp; Strategy Officer</t>
  </si>
  <si>
    <t xml:space="preserve">CRO </t>
  </si>
  <si>
    <t>Senior Director, Global Talent Strategy</t>
  </si>
  <si>
    <t>Head of TA</t>
  </si>
  <si>
    <t>TA</t>
  </si>
  <si>
    <t>Global Head of Technical Recruiting</t>
  </si>
  <si>
    <t>CHRO</t>
  </si>
  <si>
    <t>COO &amp; Directeur General</t>
  </si>
  <si>
    <t>Director, Tech Recruiting</t>
  </si>
  <si>
    <t>Director, Technical Recruiting</t>
  </si>
  <si>
    <t>Co-Founder &amp; COO</t>
  </si>
  <si>
    <t>CRO (CRO)</t>
  </si>
  <si>
    <t>Global Senior TA Partner&amp;USA&amp;EMEA&amp;APAC</t>
  </si>
  <si>
    <t>Senior TA Specialist</t>
  </si>
  <si>
    <t>Co-Founder &amp; CMO &amp; CCO</t>
  </si>
  <si>
    <t>company 1</t>
  </si>
  <si>
    <t>company 2</t>
  </si>
  <si>
    <t>company 3</t>
  </si>
  <si>
    <t>company 4</t>
  </si>
  <si>
    <t>company 5</t>
  </si>
  <si>
    <t>company 6</t>
  </si>
  <si>
    <t>company 7</t>
  </si>
  <si>
    <t>company 8</t>
  </si>
  <si>
    <t>company 9</t>
  </si>
  <si>
    <t>company 10</t>
  </si>
  <si>
    <t>company 11</t>
  </si>
  <si>
    <t>company 12</t>
  </si>
  <si>
    <t>company 13</t>
  </si>
  <si>
    <t>company 14</t>
  </si>
  <si>
    <t>company 15</t>
  </si>
  <si>
    <t>company 16</t>
  </si>
  <si>
    <t>company 17</t>
  </si>
  <si>
    <t>company 18</t>
  </si>
  <si>
    <t>company 19</t>
  </si>
  <si>
    <t>company 20</t>
  </si>
  <si>
    <t>company 21</t>
  </si>
  <si>
    <t>company 22</t>
  </si>
  <si>
    <t>company 23</t>
  </si>
  <si>
    <t>company 24</t>
  </si>
  <si>
    <t>company 25</t>
  </si>
  <si>
    <t>company 26</t>
  </si>
  <si>
    <t>company 27</t>
  </si>
  <si>
    <t>company 28</t>
  </si>
  <si>
    <t>company 29</t>
  </si>
  <si>
    <t>company 30</t>
  </si>
  <si>
    <t>company 31</t>
  </si>
  <si>
    <t>company 32</t>
  </si>
  <si>
    <t>company 33</t>
  </si>
  <si>
    <t>company 34</t>
  </si>
  <si>
    <t>company 35</t>
  </si>
  <si>
    <t>company 36</t>
  </si>
  <si>
    <t>company 37</t>
  </si>
  <si>
    <t>company 38</t>
  </si>
  <si>
    <t>company 39</t>
  </si>
  <si>
    <t>company 40</t>
  </si>
  <si>
    <t>company 41</t>
  </si>
  <si>
    <t>company 42</t>
  </si>
  <si>
    <t>company 43</t>
  </si>
  <si>
    <t>company 44</t>
  </si>
  <si>
    <t>industry 1</t>
  </si>
  <si>
    <t>industry 2</t>
  </si>
  <si>
    <t>industry 3</t>
  </si>
  <si>
    <t>industry 4</t>
  </si>
  <si>
    <t>industry 5</t>
  </si>
  <si>
    <t>industry 6</t>
  </si>
  <si>
    <t>industry 7</t>
  </si>
  <si>
    <t>industry 8</t>
  </si>
  <si>
    <t>industry 9</t>
  </si>
  <si>
    <t>industry 10</t>
  </si>
  <si>
    <t>industry 11</t>
  </si>
  <si>
    <t>industry 12</t>
  </si>
  <si>
    <t>industry 13</t>
  </si>
  <si>
    <t>industry 14</t>
  </si>
  <si>
    <t>industry 15</t>
  </si>
  <si>
    <t>industry 16</t>
  </si>
  <si>
    <t>industry 17</t>
  </si>
  <si>
    <t>industry 18</t>
  </si>
  <si>
    <t>industry 19</t>
  </si>
  <si>
    <t>industry 20</t>
  </si>
  <si>
    <t>industry 21</t>
  </si>
  <si>
    <t>industry 22</t>
  </si>
  <si>
    <t>industry 23</t>
  </si>
  <si>
    <t>industry 24</t>
  </si>
  <si>
    <t>industry 25</t>
  </si>
  <si>
    <t>industry 26</t>
  </si>
  <si>
    <t>industry 27</t>
  </si>
  <si>
    <t>industry 28</t>
  </si>
  <si>
    <t>industry 29</t>
  </si>
  <si>
    <t>industry 30</t>
  </si>
  <si>
    <t>industry 31</t>
  </si>
  <si>
    <t>industry 32</t>
  </si>
  <si>
    <t>industry 33</t>
  </si>
  <si>
    <t>industry 34</t>
  </si>
  <si>
    <t>industry 35</t>
  </si>
  <si>
    <t>industry 36</t>
  </si>
  <si>
    <t>industry 37</t>
  </si>
  <si>
    <t>industry 38</t>
  </si>
  <si>
    <t>industry 39</t>
  </si>
  <si>
    <t>industry 40</t>
  </si>
  <si>
    <t>industry 41</t>
  </si>
  <si>
    <t>industry 42</t>
  </si>
  <si>
    <t>industry 43</t>
  </si>
  <si>
    <t>industry 44</t>
  </si>
  <si>
    <t>first_name1</t>
  </si>
  <si>
    <t>first_name2</t>
  </si>
  <si>
    <t>first_name3</t>
  </si>
  <si>
    <t>first_name4</t>
  </si>
  <si>
    <t>first_name5</t>
  </si>
  <si>
    <t>first_name6</t>
  </si>
  <si>
    <t>first_name7</t>
  </si>
  <si>
    <t>first_name8</t>
  </si>
  <si>
    <t>first_name9</t>
  </si>
  <si>
    <t>first_name10</t>
  </si>
  <si>
    <t>first_name11</t>
  </si>
  <si>
    <t>first_name12</t>
  </si>
  <si>
    <t>first_name13</t>
  </si>
  <si>
    <t>first_name14</t>
  </si>
  <si>
    <t>first_name15</t>
  </si>
  <si>
    <t>first_name16</t>
  </si>
  <si>
    <t>first_name17</t>
  </si>
  <si>
    <t>first_name18</t>
  </si>
  <si>
    <t>first_name19</t>
  </si>
  <si>
    <t>first_name20</t>
  </si>
  <si>
    <t>first_name21</t>
  </si>
  <si>
    <t>first_name22</t>
  </si>
  <si>
    <t>first_name23</t>
  </si>
  <si>
    <t>first_name24</t>
  </si>
  <si>
    <t>first_name25</t>
  </si>
  <si>
    <t>first_name26</t>
  </si>
  <si>
    <t>first_name27</t>
  </si>
  <si>
    <t>first_name28</t>
  </si>
  <si>
    <t>first_name29</t>
  </si>
  <si>
    <t>first_name30</t>
  </si>
  <si>
    <t>first_name31</t>
  </si>
  <si>
    <t>first_name32</t>
  </si>
  <si>
    <t>first_name33</t>
  </si>
  <si>
    <t>first_name34</t>
  </si>
  <si>
    <t>first_name35</t>
  </si>
  <si>
    <t>first_name36</t>
  </si>
  <si>
    <t>first_name37</t>
  </si>
  <si>
    <t>first_name38</t>
  </si>
  <si>
    <t>first_name39</t>
  </si>
  <si>
    <t>first_name40</t>
  </si>
  <si>
    <t>first_name41</t>
  </si>
  <si>
    <t>first_name42</t>
  </si>
  <si>
    <t>first_name43</t>
  </si>
  <si>
    <t>first_name44</t>
  </si>
  <si>
    <t>last_name1</t>
  </si>
  <si>
    <t>last_name2</t>
  </si>
  <si>
    <t>last_name3</t>
  </si>
  <si>
    <t>last_name4</t>
  </si>
  <si>
    <t>last_name5</t>
  </si>
  <si>
    <t>last_name6</t>
  </si>
  <si>
    <t>last_name7</t>
  </si>
  <si>
    <t>last_name8</t>
  </si>
  <si>
    <t>last_name9</t>
  </si>
  <si>
    <t>last_name10</t>
  </si>
  <si>
    <t>last_name11</t>
  </si>
  <si>
    <t>last_name12</t>
  </si>
  <si>
    <t>last_name13</t>
  </si>
  <si>
    <t>last_name14</t>
  </si>
  <si>
    <t>last_name15</t>
  </si>
  <si>
    <t>last_name16</t>
  </si>
  <si>
    <t>last_name17</t>
  </si>
  <si>
    <t>last_name18</t>
  </si>
  <si>
    <t>last_name19</t>
  </si>
  <si>
    <t>last_name20</t>
  </si>
  <si>
    <t>last_name21</t>
  </si>
  <si>
    <t>last_name22</t>
  </si>
  <si>
    <t>last_name23</t>
  </si>
  <si>
    <t>last_name24</t>
  </si>
  <si>
    <t>last_name25</t>
  </si>
  <si>
    <t>last_name26</t>
  </si>
  <si>
    <t>last_name27</t>
  </si>
  <si>
    <t>last_name28</t>
  </si>
  <si>
    <t>last_name29</t>
  </si>
  <si>
    <t>last_name30</t>
  </si>
  <si>
    <t>last_name31</t>
  </si>
  <si>
    <t>last_name32</t>
  </si>
  <si>
    <t>last_name33</t>
  </si>
  <si>
    <t>last_name34</t>
  </si>
  <si>
    <t>last_name35</t>
  </si>
  <si>
    <t>last_name36</t>
  </si>
  <si>
    <t>last_name37</t>
  </si>
  <si>
    <t>last_name38</t>
  </si>
  <si>
    <t>last_name39</t>
  </si>
  <si>
    <t>last_name40</t>
  </si>
  <si>
    <t>last_name41</t>
  </si>
  <si>
    <t>last_name42</t>
  </si>
  <si>
    <t>last_name43</t>
  </si>
  <si>
    <t>last_name44</t>
  </si>
  <si>
    <t>email1</t>
  </si>
  <si>
    <t>email2</t>
  </si>
  <si>
    <t>email3</t>
  </si>
  <si>
    <t>email4</t>
  </si>
  <si>
    <t>email5</t>
  </si>
  <si>
    <t>email6</t>
  </si>
  <si>
    <t>email7</t>
  </si>
  <si>
    <t>email8</t>
  </si>
  <si>
    <t>email9</t>
  </si>
  <si>
    <t>email10</t>
  </si>
  <si>
    <t>email11</t>
  </si>
  <si>
    <t>email12</t>
  </si>
  <si>
    <t>email13</t>
  </si>
  <si>
    <t>email14</t>
  </si>
  <si>
    <t>email15</t>
  </si>
  <si>
    <t>email16</t>
  </si>
  <si>
    <t>email17</t>
  </si>
  <si>
    <t>email18</t>
  </si>
  <si>
    <t>email19</t>
  </si>
  <si>
    <t>email20</t>
  </si>
  <si>
    <t>email21</t>
  </si>
  <si>
    <t>email22</t>
  </si>
  <si>
    <t>email23</t>
  </si>
  <si>
    <t>email24</t>
  </si>
  <si>
    <t>email25</t>
  </si>
  <si>
    <t>email26</t>
  </si>
  <si>
    <t>email27</t>
  </si>
  <si>
    <t>email28</t>
  </si>
  <si>
    <t>email29</t>
  </si>
  <si>
    <t>email30</t>
  </si>
  <si>
    <t>email31</t>
  </si>
  <si>
    <t>email32</t>
  </si>
  <si>
    <t>email33</t>
  </si>
  <si>
    <t>email34</t>
  </si>
  <si>
    <t>email35</t>
  </si>
  <si>
    <t>email36</t>
  </si>
  <si>
    <t>email37</t>
  </si>
  <si>
    <t>email38</t>
  </si>
  <si>
    <t>email39</t>
  </si>
  <si>
    <t>email40</t>
  </si>
  <si>
    <t>email41</t>
  </si>
  <si>
    <t>email42</t>
  </si>
  <si>
    <t>email43</t>
  </si>
  <si>
    <t>email44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</si>
</sst>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(000\)\ 000\-0000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/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4" applyNumberFormat="0" applyAlignment="0" applyProtection="0"/>
    <xf numFmtId="0" fontId="12" fillId="8" borderId="5" applyNumberFormat="0" applyAlignment="0" applyProtection="0"/>
    <xf numFmtId="0" fontId="13" fillId="8" borderId="4" applyNumberFormat="0" applyAlignment="0" applyProtection="0"/>
    <xf numFmtId="0" fontId="14" fillId="0" borderId="6" applyNumberFormat="0" applyFill="0" applyAlignment="0" applyProtection="0"/>
    <xf numFmtId="0" fontId="15" fillId="9" borderId="7" applyNumberFormat="0" applyAlignment="0" applyProtection="0"/>
    <xf numFmtId="0" fontId="16" fillId="0" borderId="0" applyNumberFormat="0" applyFill="0" applyBorder="0" applyAlignment="0" applyProtection="0"/>
    <xf numFmtId="0" fontId="3" fillId="10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1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1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1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</cellStyleXfs>
  <cellXfs count="8">
    <xf numFmtId="0" fontId="0" fillId="0" borderId="0" xfId="0"/>
    <xf numFmtId="0" fontId="1" fillId="3" borderId="0" xfId="0" applyFont="1" applyFill="1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" fillId="3" borderId="0" xfId="0" applyNumberFormat="1" applyFont="1" applyFill="1" applyAlignment="1">
      <alignment horizontal="left" vertical="center"/>
    </xf>
    <xf numFmtId="164" fontId="0" fillId="0" borderId="0" xfId="0" applyNumberFormat="1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15" fillId="3" borderId="10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4"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165" formatCode="m/d/yyyy"/>
      <alignment horizontal="left" vertical="center" textRotation="0" wrapText="1" indent="0" justifyLastLine="0" shrinkToFit="0" readingOrder="0"/>
    </dxf>
    <dxf>
      <numFmt numFmtId="164" formatCode="\(000\)\ 000\-0000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165" formatCode="m/d/yyyy"/>
      <alignment horizontal="left" vertical="center" textRotation="0" wrapText="1" indent="0" justifyLastLine="0" shrinkToFit="0" readingOrder="0"/>
    </dxf>
    <dxf>
      <numFmt numFmtId="164" formatCode="\(000\)\ 000\-0000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165" formatCode="m/d/yyyy"/>
      <alignment horizontal="left" vertical="center" textRotation="0" wrapText="1" indent="0" justifyLastLine="0" shrinkToFit="0" readingOrder="0"/>
    </dxf>
    <dxf>
      <numFmt numFmtId="164" formatCode="\(000\)\ 000\-0000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165" formatCode="m/d/yyyy"/>
      <alignment horizontal="left" vertical="center" textRotation="0" wrapText="1" indent="0" justifyLastLine="0" shrinkToFit="0" readingOrder="0"/>
    </dxf>
    <dxf>
      <numFmt numFmtId="164" formatCode="\(000\)\ 000\-0000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15240</xdr:rowOff>
    </xdr:from>
    <xdr:to>
      <xdr:col>0</xdr:col>
      <xdr:colOff>967740</xdr:colOff>
      <xdr:row>17</xdr:row>
      <xdr:rowOff>15240</xdr:rowOff>
    </xdr:to>
    <xdr:sp macro="[0]!LoopAnd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2E5E02D-A756-4FB4-9D6F-7B749FB7DD90}"/>
            </a:ext>
          </a:extLst>
        </xdr:cNvPr>
        <xdr:cNvSpPr/>
      </xdr:nvSpPr>
      <xdr:spPr>
        <a:xfrm>
          <a:off x="0" y="2667000"/>
          <a:ext cx="967740" cy="5486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Clear Formatting</a:t>
          </a:r>
        </a:p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68580</xdr:rowOff>
    </xdr:from>
    <xdr:to>
      <xdr:col>0</xdr:col>
      <xdr:colOff>967740</xdr:colOff>
      <xdr:row>13</xdr:row>
      <xdr:rowOff>106680</xdr:rowOff>
    </xdr:to>
    <xdr:sp macro="[0]!LoopAndHea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E7DF27-1046-420D-AB67-43B43A13B855}"/>
            </a:ext>
          </a:extLst>
        </xdr:cNvPr>
        <xdr:cNvSpPr/>
      </xdr:nvSpPr>
      <xdr:spPr>
        <a:xfrm>
          <a:off x="0" y="1988820"/>
          <a:ext cx="967740" cy="5867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Header Formatting</a:t>
          </a:r>
        </a:p>
        <a:p>
          <a:pPr algn="l"/>
          <a:endParaRPr lang="en-US" sz="1100"/>
        </a:p>
      </xdr:txBody>
    </xdr:sp>
    <xdr:clientData/>
  </xdr:twoCellAnchor>
  <xdr:twoCellAnchor>
    <xdr:from>
      <xdr:col>1</xdr:col>
      <xdr:colOff>22860</xdr:colOff>
      <xdr:row>10</xdr:row>
      <xdr:rowOff>76200</xdr:rowOff>
    </xdr:from>
    <xdr:to>
      <xdr:col>2</xdr:col>
      <xdr:colOff>30480</xdr:colOff>
      <xdr:row>13</xdr:row>
      <xdr:rowOff>106680</xdr:rowOff>
    </xdr:to>
    <xdr:sp macro="[0]!LoopAndForma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BB48A29-1A30-41CC-862A-2573F4D3C7E5}"/>
            </a:ext>
          </a:extLst>
        </xdr:cNvPr>
        <xdr:cNvSpPr/>
      </xdr:nvSpPr>
      <xdr:spPr>
        <a:xfrm>
          <a:off x="1021080" y="1996440"/>
          <a:ext cx="967740" cy="5791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Data Formatting</a:t>
          </a:r>
        </a:p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</xdr:row>
      <xdr:rowOff>45720</xdr:rowOff>
    </xdr:from>
    <xdr:to>
      <xdr:col>0</xdr:col>
      <xdr:colOff>967740</xdr:colOff>
      <xdr:row>4</xdr:row>
      <xdr:rowOff>91440</xdr:rowOff>
    </xdr:to>
    <xdr:sp macro="[0]!LoopAndFill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0993E46-A9BB-415F-80F0-90CD0DA6C486}"/>
            </a:ext>
          </a:extLst>
        </xdr:cNvPr>
        <xdr:cNvSpPr/>
      </xdr:nvSpPr>
      <xdr:spPr>
        <a:xfrm>
          <a:off x="0" y="274320"/>
          <a:ext cx="967740" cy="5943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Fill Blanks</a:t>
          </a:r>
        </a:p>
      </xdr:txBody>
    </xdr:sp>
    <xdr:clientData/>
  </xdr:twoCellAnchor>
  <xdr:twoCellAnchor>
    <xdr:from>
      <xdr:col>1</xdr:col>
      <xdr:colOff>38100</xdr:colOff>
      <xdr:row>13</xdr:row>
      <xdr:rowOff>160020</xdr:rowOff>
    </xdr:from>
    <xdr:to>
      <xdr:col>2</xdr:col>
      <xdr:colOff>45720</xdr:colOff>
      <xdr:row>17</xdr:row>
      <xdr:rowOff>45720</xdr:rowOff>
    </xdr:to>
    <xdr:sp macro="[0]!RemoveSpecPhon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796522F-8D62-4E0A-9AE4-958D3F02D4B8}"/>
            </a:ext>
          </a:extLst>
        </xdr:cNvPr>
        <xdr:cNvSpPr/>
      </xdr:nvSpPr>
      <xdr:spPr>
        <a:xfrm>
          <a:off x="1036320" y="2628900"/>
          <a:ext cx="967740" cy="6172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Phone </a:t>
          </a:r>
          <a:r>
            <a:rPr lang="en-US" sz="1200" baseline="0"/>
            <a:t> Formatting</a:t>
          </a:r>
        </a:p>
      </xdr:txBody>
    </xdr:sp>
    <xdr:clientData/>
  </xdr:twoCellAnchor>
  <xdr:twoCellAnchor>
    <xdr:from>
      <xdr:col>1</xdr:col>
      <xdr:colOff>22860</xdr:colOff>
      <xdr:row>1</xdr:row>
      <xdr:rowOff>53340</xdr:rowOff>
    </xdr:from>
    <xdr:to>
      <xdr:col>2</xdr:col>
      <xdr:colOff>53340</xdr:colOff>
      <xdr:row>4</xdr:row>
      <xdr:rowOff>99060</xdr:rowOff>
    </xdr:to>
    <xdr:sp macro="[0]!Módulo8.CleanTit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A07BD54-39BB-4A8D-B814-CE1335581CB5}"/>
            </a:ext>
          </a:extLst>
        </xdr:cNvPr>
        <xdr:cNvSpPr/>
      </xdr:nvSpPr>
      <xdr:spPr>
        <a:xfrm>
          <a:off x="1021080" y="281940"/>
          <a:ext cx="990600" cy="5943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Title Cleaning</a:t>
          </a:r>
        </a:p>
      </xdr:txBody>
    </xdr:sp>
    <xdr:clientData/>
  </xdr:twoCellAnchor>
  <xdr:twoCellAnchor>
    <xdr:from>
      <xdr:col>0</xdr:col>
      <xdr:colOff>0</xdr:colOff>
      <xdr:row>20</xdr:row>
      <xdr:rowOff>22860</xdr:rowOff>
    </xdr:from>
    <xdr:to>
      <xdr:col>0</xdr:col>
      <xdr:colOff>967740</xdr:colOff>
      <xdr:row>23</xdr:row>
      <xdr:rowOff>22860</xdr:rowOff>
    </xdr:to>
    <xdr:sp macro="[0]!CreateNewShee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774FA03-95E8-4439-8DDC-BBBC75CC27E9}"/>
            </a:ext>
          </a:extLst>
        </xdr:cNvPr>
        <xdr:cNvSpPr/>
      </xdr:nvSpPr>
      <xdr:spPr>
        <a:xfrm>
          <a:off x="0" y="3817620"/>
          <a:ext cx="967740" cy="5486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New Sheet</a:t>
          </a:r>
        </a:p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126217-864B-4C55-A305-942C39D37D6F}" name="Table3" displayName="Table3" ref="A1:N45" totalsRowShown="0" headerRowDxfId="63" dataDxfId="62">
  <autoFilter ref="A1:N45" xr:uid="{B7126217-864B-4C55-A305-942C39D37D6F}"/>
  <tableColumns count="14">
    <tableColumn id="1" xr3:uid="{FC3034BB-2D96-44FA-8298-FAFF002B3B49}" name="Company" dataDxfId="61"/>
    <tableColumn id="2" xr3:uid="{F2180349-22AF-4D62-AC7A-9278D21F5284}" name="Industry" dataDxfId="60"/>
    <tableColumn id="3" xr3:uid="{6AFF8C4A-F6C5-40F2-8986-933DE9B2D406}" name="Number of Employees" dataDxfId="59"/>
    <tableColumn id="4" xr3:uid="{14BCD3E7-FF48-49B1-9F31-59847E43E920}" name="City" dataDxfId="58"/>
    <tableColumn id="5" xr3:uid="{AFC40516-5F6B-40FC-95D2-829B5D21BDD1}" name="State" dataDxfId="57"/>
    <tableColumn id="6" xr3:uid="{56462CA4-E33D-4BA0-B94D-813656116B85}" name="First Name" dataDxfId="56"/>
    <tableColumn id="7" xr3:uid="{3E736ABF-C515-4A9D-97CC-92DDE4BE434D}" name="Last Name" dataDxfId="55"/>
    <tableColumn id="8" xr3:uid="{027C1455-2AE5-4DD5-B8E5-CD4F7D8173F7}" name="Title" dataDxfId="54"/>
    <tableColumn id="9" xr3:uid="{D7675D10-3D7C-4C94-8B9B-11A21FA8351C}" name="Primary Email" dataDxfId="53"/>
    <tableColumn id="10" xr3:uid="{2D3A2404-FE6D-4280-8F81-FB2F4A44042C}" name="Phone Number" dataDxfId="52"/>
    <tableColumn id="11" xr3:uid="{D360EC82-030C-43F5-83B9-F808300759F1}" name="Date" dataDxfId="51"/>
    <tableColumn id="12" xr3:uid="{6F70A555-7736-4786-8CD2-6BF4E78574F8}" name="Sequence Step" dataDxfId="50">
      <calculatedColumnFormula>IF(Table3[[#This Row],[Sequence Status]]="Replied", Table3[[#This Row],[Sequence Step]],IF(TODAY()-K2&lt;=8,"Step 1",IF(TODAY()-K2&lt;=16,"Step 2",IF(TODAY()-K2&lt;=24,"Step 3",IF(TODAY()-K2&lt;=31,"Step 4",IF(TODAY()-K2&lt;=38,"Step 5",IF(TODAY()-K2&lt;=41,"Step 6","")))))))</calculatedColumnFormula>
    </tableColumn>
    <tableColumn id="13" xr3:uid="{3BCD6768-58F0-4A7E-A5B8-BEED9B4929A6}" name="Sequence Status" dataDxfId="49"/>
    <tableColumn id="14" xr3:uid="{8C9691F1-DFEC-409B-BEBB-3BEEB408C25E}" name="Deal Status" dataDxfId="4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22FCA1A-FB1C-41FA-B2F1-5A7DC96AE881}" name="Table325" displayName="Table325" ref="A1:N45" totalsRowShown="0" headerRowDxfId="47" dataDxfId="46">
  <autoFilter ref="A1:N45" xr:uid="{E22FCA1A-FB1C-41FA-B2F1-5A7DC96AE881}"/>
  <tableColumns count="14">
    <tableColumn id="1" xr3:uid="{5C1077C1-C491-4063-89AE-A69B82B5F5DB}" name="Company" dataDxfId="45"/>
    <tableColumn id="2" xr3:uid="{5B261BB2-4166-4D0D-B0BD-C2125D640A80}" name="Industry" dataDxfId="44"/>
    <tableColumn id="3" xr3:uid="{B65A470F-D575-441F-BFBB-BD2588B20967}" name="Number of Employees" dataDxfId="43"/>
    <tableColumn id="4" xr3:uid="{F5198E11-13C7-4156-8AB8-616DB8A884C4}" name="City" dataDxfId="42"/>
    <tableColumn id="5" xr3:uid="{38927C86-DF54-41D3-B049-736EA7109D15}" name="State" dataDxfId="41"/>
    <tableColumn id="6" xr3:uid="{AE43BA3F-175D-4888-AF61-06C9A81CD48E}" name="First Name" dataDxfId="40"/>
    <tableColumn id="7" xr3:uid="{B3B5E8DA-A3B3-4196-97E0-86F3BAE14D30}" name="Last Name" dataDxfId="39"/>
    <tableColumn id="8" xr3:uid="{7505E7A5-32EE-4E9F-B94E-E94297BFD700}" name="Title" dataDxfId="38"/>
    <tableColumn id="9" xr3:uid="{34240277-AA13-4BB0-AF97-B84876BE55D2}" name="Primary Email" dataDxfId="37"/>
    <tableColumn id="10" xr3:uid="{D75FF39A-C70F-472D-9CA5-23ABC8039BAC}" name="Phone Number" dataDxfId="36"/>
    <tableColumn id="11" xr3:uid="{CFD9947B-AE72-423D-87A7-0C2BF8EBD4F8}" name="Date" dataDxfId="35"/>
    <tableColumn id="12" xr3:uid="{B021C45A-7B16-44C8-ADA0-D97944B8D153}" name="Sequence Step" dataDxfId="34">
      <calculatedColumnFormula>IF(Table325[[#This Row],[Sequence Status]]="Replied", Table325[[#This Row],[Sequence Step]],IF(TODAY()-K2&lt;=8,"Step 1",IF(TODAY()-K2&lt;=16,"Step 2",IF(TODAY()-K2&lt;=24,"Step 3",IF(TODAY()-K2&lt;=31,"Step 4",IF(TODAY()-K2&lt;=38,"Step 5",IF(TODAY()-K2&lt;=41,"Step 6","")))))))</calculatedColumnFormula>
    </tableColumn>
    <tableColumn id="13" xr3:uid="{FDB2C33B-F61B-4A5F-8060-15BB8D21F48C}" name="Sequence Status" dataDxfId="33"/>
    <tableColumn id="14" xr3:uid="{F7EBF487-B44E-4E96-A578-7F2AB03F2D58}" name="Deal Status" dataDxfId="3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392707-6BC5-4D94-81E6-8291694DDA41}" name="Table32" displayName="Table32" ref="A1:N45" totalsRowShown="0" headerRowDxfId="31" dataDxfId="30">
  <autoFilter ref="A1:N45" xr:uid="{77392707-6BC5-4D94-81E6-8291694DDA41}"/>
  <tableColumns count="14">
    <tableColumn id="1" xr3:uid="{29C1FB0C-F851-417F-A797-F8DD7F7C2C8C}" name="Company" dataDxfId="29"/>
    <tableColumn id="2" xr3:uid="{E19B888B-EF9D-4D7A-849D-58AD4A3CC607}" name="Industry" dataDxfId="28"/>
    <tableColumn id="3" xr3:uid="{E1F2D604-0102-41A0-9C8F-1656D3042E6C}" name="Number of Employees" dataDxfId="27"/>
    <tableColumn id="4" xr3:uid="{D463F385-D64F-4339-A9C7-91F56E75E26F}" name="City" dataDxfId="26"/>
    <tableColumn id="5" xr3:uid="{777361FC-E479-4957-ACE4-57598C8CD1BB}" name="State" dataDxfId="25"/>
    <tableColumn id="6" xr3:uid="{1F7AD49A-D2D1-4B1F-B20E-8900D4927C55}" name="First Name" dataDxfId="24"/>
    <tableColumn id="7" xr3:uid="{3E9C8A89-5314-405B-8676-4C851CBA6EF9}" name="Last Name" dataDxfId="23"/>
    <tableColumn id="8" xr3:uid="{4612E3DF-BE1C-45AE-9AE7-26080FFDAE1C}" name="Title" dataDxfId="22"/>
    <tableColumn id="9" xr3:uid="{F96D1AB4-2492-4A45-BF0A-5EDC1D11CBA9}" name="Primary Email" dataDxfId="21"/>
    <tableColumn id="10" xr3:uid="{48089DD6-1856-42A7-B12C-F51C13DD1392}" name="Phone Number" dataDxfId="20"/>
    <tableColumn id="11" xr3:uid="{9EEC8344-4DCB-40BF-943D-D30018850040}" name="Date" dataDxfId="19"/>
    <tableColumn id="12" xr3:uid="{005727BA-5DD6-4234-8BD2-A092C6E7F1C5}" name="Sequence Step" dataDxfId="18">
      <calculatedColumnFormula>IF(Table32[[#This Row],[Sequence Status]]="Replied", Table32[[#This Row],[Sequence Step]],IF(TODAY()-K2&lt;=8,"Step 1",IF(TODAY()-K2&lt;=16,"Step 2",IF(TODAY()-K2&lt;=24,"Step 3",IF(TODAY()-K2&lt;=31,"Step 4",IF(TODAY()-K2&lt;=38,"Step 5",IF(TODAY()-K2&lt;=41,"Step 6","")))))))</calculatedColumnFormula>
    </tableColumn>
    <tableColumn id="13" xr3:uid="{28200464-35C7-42DD-B648-E23351740B0E}" name="Sequence Status" dataDxfId="17"/>
    <tableColumn id="14" xr3:uid="{241EC2CA-7A19-4015-8FE3-01B1AEC0CF8F}" name="Deal Status" dataDxfId="1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9FFECA-91CF-44F7-9070-57E72B3B4A14}" name="Table323" displayName="Table323" ref="A1:N45" totalsRowShown="0" headerRowDxfId="15" dataDxfId="14">
  <autoFilter ref="A1:N45" xr:uid="{9C9FFECA-91CF-44F7-9070-57E72B3B4A14}"/>
  <tableColumns count="14">
    <tableColumn id="1" xr3:uid="{B27F589A-3754-437C-A124-2B990D3CFB02}" name="Company" dataDxfId="13"/>
    <tableColumn id="2" xr3:uid="{4A236BF4-527A-457C-BA31-9F3EA8947257}" name="Industry" dataDxfId="12"/>
    <tableColumn id="3" xr3:uid="{C92615C2-D80F-4FAF-810D-1B6F73EFF2E4}" name="Number of Employees" dataDxfId="11"/>
    <tableColumn id="4" xr3:uid="{496A2ACD-92F5-4945-91FF-BFB3A69D511E}" name="City" dataDxfId="10"/>
    <tableColumn id="5" xr3:uid="{CD220985-CCB6-431C-8885-3AFD538DE473}" name="State" dataDxfId="9"/>
    <tableColumn id="6" xr3:uid="{B4917718-DEDE-4CBD-B63D-972C702C703F}" name="First Name" dataDxfId="8"/>
    <tableColumn id="7" xr3:uid="{E8607C2F-1C93-48C1-8377-B4512AC83BA0}" name="Last Name" dataDxfId="7"/>
    <tableColumn id="8" xr3:uid="{1D0E56DC-991C-4FBA-9FE1-E7FFACEF53F3}" name="Title" dataDxfId="6"/>
    <tableColumn id="9" xr3:uid="{6EF8539F-30F1-43F3-BB86-44A0C615C840}" name="Primary Email" dataDxfId="5"/>
    <tableColumn id="10" xr3:uid="{3C868184-B88C-4EC4-BE3F-0AA7951673E9}" name="Phone Number" dataDxfId="4"/>
    <tableColumn id="11" xr3:uid="{8B4C79B5-C86C-45B9-9B84-C2058F07AF97}" name="Date" dataDxfId="3"/>
    <tableColumn id="12" xr3:uid="{C98DB5C4-CA60-44BD-B65E-B43A6ED8A641}" name="Sequence Step" dataDxfId="2">
      <calculatedColumnFormula>IF(Table323[[#This Row],[Sequence Status]]="Replied", Table323[[#This Row],[Sequence Step]],IF(TODAY()-K2&lt;=8,"Step 1",IF(TODAY()-K2&lt;=16,"Step 2",IF(TODAY()-K2&lt;=24,"Step 3",IF(TODAY()-K2&lt;=31,"Step 4",IF(TODAY()-K2&lt;=38,"Step 5",IF(TODAY()-K2&lt;=41,"Step 6","")))))))</calculatedColumnFormula>
    </tableColumn>
    <tableColumn id="13" xr3:uid="{F99AF08F-D1E2-4C12-84DF-18B28434439C}" name="Sequence Status" dataDxfId="1"/>
    <tableColumn id="14" xr3:uid="{3AC421E6-D0DD-4572-8EB7-9187015FF0D0}" name="Deal Status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18BD9-09D1-4CC4-AD0F-E844AB9649CD}">
  <sheetPr codeName="Sheet1"/>
  <dimension ref="A1:B20"/>
  <sheetViews>
    <sheetView tabSelected="1" workbookViewId="0">
      <selection activeCell="C10" sqref="C10"/>
    </sheetView>
  </sheetViews>
  <sheetFormatPr defaultRowHeight="14.4" x14ac:dyDescent="0.3"/>
  <cols>
    <col min="1" max="1" width="26.33203125" customWidth="1"/>
    <col min="2" max="2" width="15.33203125" customWidth="1"/>
    <col min="3" max="3" width="26.33203125" customWidth="1"/>
  </cols>
  <sheetData>
    <row r="1" spans="1:2" ht="18" customHeight="1" x14ac:dyDescent="0.3">
      <c r="A1" s="7" t="s">
        <v>0</v>
      </c>
      <c r="B1" s="7"/>
    </row>
    <row r="2" spans="1:2" x14ac:dyDescent="0.3">
      <c r="A2" t="s">
        <v>16</v>
      </c>
      <c r="B2" t="s">
        <v>16</v>
      </c>
    </row>
    <row r="3" spans="1:2" x14ac:dyDescent="0.3">
      <c r="A3" t="s">
        <v>16</v>
      </c>
      <c r="B3" t="s">
        <v>16</v>
      </c>
    </row>
    <row r="10" spans="1:2" ht="18" x14ac:dyDescent="0.3">
      <c r="A10" s="7" t="s">
        <v>1</v>
      </c>
      <c r="B10" s="7"/>
    </row>
    <row r="20" spans="1:2" ht="18" x14ac:dyDescent="0.3">
      <c r="A20" s="7" t="s">
        <v>2</v>
      </c>
      <c r="B20" s="7"/>
    </row>
  </sheetData>
  <mergeCells count="3">
    <mergeCell ref="A1:B1"/>
    <mergeCell ref="A10:B10"/>
    <mergeCell ref="A20:B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306FA-7912-4F9D-A778-D3AB946F7AAB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8406E-A744-4696-B82F-28A68AE89B7E}">
  <sheetPr codeName="Sheet3"/>
  <dimension ref="A1:N45"/>
  <sheetViews>
    <sheetView topLeftCell="D10" zoomScale="70" zoomScaleNormal="70" workbookViewId="0">
      <selection sqref="A1:N45"/>
    </sheetView>
  </sheetViews>
  <sheetFormatPr defaultColWidth="18.6640625" defaultRowHeight="14.4" x14ac:dyDescent="0.3"/>
  <cols>
    <col min="1" max="14" width="26.33203125" style="2" customWidth="1"/>
    <col min="15" max="16384" width="18.6640625" style="2"/>
  </cols>
  <sheetData>
    <row r="1" spans="1:14" customFormat="1" ht="18" customHeight="1" x14ac:dyDescent="0.3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3" t="s">
        <v>12</v>
      </c>
      <c r="K1" s="6" t="s">
        <v>18</v>
      </c>
      <c r="L1" s="6" t="s">
        <v>13</v>
      </c>
      <c r="M1" s="6" t="s">
        <v>14</v>
      </c>
      <c r="N1" s="1" t="s">
        <v>15</v>
      </c>
    </row>
    <row r="2" spans="1:14" x14ac:dyDescent="0.3">
      <c r="A2" s="2" t="s">
        <v>42</v>
      </c>
      <c r="B2" s="2" t="s">
        <v>86</v>
      </c>
      <c r="C2" s="2">
        <v>130</v>
      </c>
      <c r="D2" s="2" t="s">
        <v>17</v>
      </c>
      <c r="E2" s="2" t="s">
        <v>17</v>
      </c>
      <c r="F2" s="2" t="s">
        <v>130</v>
      </c>
      <c r="G2" s="2" t="s">
        <v>174</v>
      </c>
      <c r="H2" s="2" t="s">
        <v>28</v>
      </c>
      <c r="I2" s="2" t="s">
        <v>218</v>
      </c>
      <c r="J2" s="4">
        <v>1000001001</v>
      </c>
      <c r="K2" s="5">
        <v>45196</v>
      </c>
      <c r="L2" s="2" t="str">
        <f ca="1">IF(Table3[[#This Row],[Sequence Status]]="Replied", Table3[[#This Row],[Sequence Step]],IF(TODAY()-K2&lt;=8,"Step 1",IF(TODAY()-K2&lt;=16,"Step 2",IF(TODAY()-K2&lt;=24,"Step 3",IF(TODAY()-K2&lt;=31,"Step 4",IF(TODAY()-K2&lt;=38,"Step 5",IF(TODAY()-K2&lt;=41,"Step 6","")))))))</f>
        <v/>
      </c>
      <c r="M2" s="2" t="s">
        <v>20</v>
      </c>
      <c r="N2" s="2" t="s">
        <v>16</v>
      </c>
    </row>
    <row r="3" spans="1:14" x14ac:dyDescent="0.3">
      <c r="A3" s="2" t="s">
        <v>43</v>
      </c>
      <c r="B3" s="2" t="s">
        <v>87</v>
      </c>
      <c r="C3" s="2">
        <v>21</v>
      </c>
      <c r="D3" s="2" t="s">
        <v>17</v>
      </c>
      <c r="E3" s="2" t="s">
        <v>17</v>
      </c>
      <c r="F3" s="2" t="s">
        <v>131</v>
      </c>
      <c r="G3" s="2" t="s">
        <v>175</v>
      </c>
      <c r="H3" s="2" t="s">
        <v>19</v>
      </c>
      <c r="I3" s="2" t="s">
        <v>219</v>
      </c>
      <c r="J3" s="4">
        <v>1000001001</v>
      </c>
      <c r="K3" s="5">
        <v>45196</v>
      </c>
      <c r="L3" s="2" t="str">
        <f ca="1">IF(Table3[[#This Row],[Sequence Status]]="Replied", Table3[[#This Row],[Sequence Step]],IF(TODAY()-K3&lt;=8,"Step 1",IF(TODAY()-K3&lt;=16,"Step 2",IF(TODAY()-K3&lt;=24,"Step 3",IF(TODAY()-K3&lt;=31,"Step 4",IF(TODAY()-K3&lt;=38,"Step 5",IF(TODAY()-K3&lt;=41,"Step 6","")))))))</f>
        <v/>
      </c>
      <c r="M3" s="2" t="s">
        <v>20</v>
      </c>
      <c r="N3" s="2" t="s">
        <v>16</v>
      </c>
    </row>
    <row r="4" spans="1:14" x14ac:dyDescent="0.3">
      <c r="A4" s="2" t="s">
        <v>44</v>
      </c>
      <c r="B4" s="2" t="s">
        <v>88</v>
      </c>
      <c r="C4" s="2">
        <v>289000</v>
      </c>
      <c r="D4" s="2" t="s">
        <v>17</v>
      </c>
      <c r="E4" s="2" t="s">
        <v>17</v>
      </c>
      <c r="F4" s="2" t="s">
        <v>132</v>
      </c>
      <c r="G4" s="2" t="s">
        <v>176</v>
      </c>
      <c r="H4" s="2" t="s">
        <v>26</v>
      </c>
      <c r="I4" s="2" t="s">
        <v>220</v>
      </c>
      <c r="J4" s="4">
        <v>1000001001</v>
      </c>
      <c r="K4" s="5">
        <v>45196</v>
      </c>
      <c r="L4" s="2" t="str">
        <f ca="1">IF(Table3[[#This Row],[Sequence Status]]="Replied", Table3[[#This Row],[Sequence Step]],IF(TODAY()-K4&lt;=8,"Step 1",IF(TODAY()-K4&lt;=16,"Step 2",IF(TODAY()-K4&lt;=24,"Step 3",IF(TODAY()-K4&lt;=31,"Step 4",IF(TODAY()-K4&lt;=38,"Step 5",IF(TODAY()-K4&lt;=41,"Step 6","")))))))</f>
        <v/>
      </c>
      <c r="M4" s="2" t="s">
        <v>20</v>
      </c>
      <c r="N4" s="2" t="s">
        <v>16</v>
      </c>
    </row>
    <row r="5" spans="1:14" x14ac:dyDescent="0.3">
      <c r="A5" s="2" t="s">
        <v>45</v>
      </c>
      <c r="B5" s="2" t="s">
        <v>89</v>
      </c>
      <c r="C5" s="2">
        <v>140</v>
      </c>
      <c r="D5" s="2" t="s">
        <v>17</v>
      </c>
      <c r="E5" s="2" t="s">
        <v>17</v>
      </c>
      <c r="F5" s="2" t="s">
        <v>133</v>
      </c>
      <c r="G5" s="2" t="s">
        <v>177</v>
      </c>
      <c r="H5" s="2" t="s">
        <v>28</v>
      </c>
      <c r="I5" s="2" t="s">
        <v>221</v>
      </c>
      <c r="J5" s="4">
        <v>1000001001</v>
      </c>
      <c r="K5" s="5">
        <v>45196</v>
      </c>
      <c r="L5" s="2" t="str">
        <f ca="1">IF(Table3[[#This Row],[Sequence Status]]="Replied", Table3[[#This Row],[Sequence Step]],IF(TODAY()-K5&lt;=8,"Step 1",IF(TODAY()-K5&lt;=16,"Step 2",IF(TODAY()-K5&lt;=24,"Step 3",IF(TODAY()-K5&lt;=31,"Step 4",IF(TODAY()-K5&lt;=38,"Step 5",IF(TODAY()-K5&lt;=41,"Step 6","")))))))</f>
        <v/>
      </c>
      <c r="M5" s="2" t="s">
        <v>20</v>
      </c>
      <c r="N5" s="2" t="s">
        <v>16</v>
      </c>
    </row>
    <row r="6" spans="1:14" ht="28.8" x14ac:dyDescent="0.3">
      <c r="A6" s="2" t="s">
        <v>46</v>
      </c>
      <c r="B6" s="2" t="s">
        <v>90</v>
      </c>
      <c r="C6" s="2">
        <v>300</v>
      </c>
      <c r="D6" s="2" t="s">
        <v>17</v>
      </c>
      <c r="E6" s="2" t="s">
        <v>17</v>
      </c>
      <c r="F6" s="2" t="s">
        <v>134</v>
      </c>
      <c r="G6" s="2" t="s">
        <v>178</v>
      </c>
      <c r="H6" s="2" t="s">
        <v>29</v>
      </c>
      <c r="I6" s="2" t="s">
        <v>222</v>
      </c>
      <c r="J6" s="4">
        <v>1000001001</v>
      </c>
      <c r="K6" s="5">
        <v>45196</v>
      </c>
      <c r="L6" s="2" t="str">
        <f ca="1">IF(Table3[[#This Row],[Sequence Status]]="Replied", Table3[[#This Row],[Sequence Step]],IF(TODAY()-K6&lt;=8,"Step 1",IF(TODAY()-K6&lt;=16,"Step 2",IF(TODAY()-K6&lt;=24,"Step 3",IF(TODAY()-K6&lt;=31,"Step 4",IF(TODAY()-K6&lt;=38,"Step 5",IF(TODAY()-K6&lt;=41,"Step 6","")))))))</f>
        <v/>
      </c>
      <c r="M6" s="2" t="s">
        <v>20</v>
      </c>
      <c r="N6" s="2" t="s">
        <v>16</v>
      </c>
    </row>
    <row r="7" spans="1:14" x14ac:dyDescent="0.3">
      <c r="A7" s="2" t="s">
        <v>47</v>
      </c>
      <c r="B7" s="2" t="s">
        <v>91</v>
      </c>
      <c r="C7" s="2">
        <v>550</v>
      </c>
      <c r="D7" s="2" t="s">
        <v>17</v>
      </c>
      <c r="E7" s="2" t="s">
        <v>17</v>
      </c>
      <c r="F7" s="2" t="s">
        <v>135</v>
      </c>
      <c r="G7" s="2" t="s">
        <v>179</v>
      </c>
      <c r="H7" s="2" t="s">
        <v>30</v>
      </c>
      <c r="I7" s="2" t="s">
        <v>223</v>
      </c>
      <c r="J7" s="4">
        <v>1000001001</v>
      </c>
      <c r="K7" s="5">
        <v>45196</v>
      </c>
      <c r="L7" s="2" t="str">
        <f ca="1">IF(Table3[[#This Row],[Sequence Status]]="Replied", Table3[[#This Row],[Sequence Step]],IF(TODAY()-K7&lt;=8,"Step 1",IF(TODAY()-K7&lt;=16,"Step 2",IF(TODAY()-K7&lt;=24,"Step 3",IF(TODAY()-K7&lt;=31,"Step 4",IF(TODAY()-K7&lt;=38,"Step 5",IF(TODAY()-K7&lt;=41,"Step 6","")))))))</f>
        <v/>
      </c>
      <c r="M7" s="2" t="s">
        <v>20</v>
      </c>
      <c r="N7" s="2" t="s">
        <v>16</v>
      </c>
    </row>
    <row r="8" spans="1:14" x14ac:dyDescent="0.3">
      <c r="A8" s="2" t="s">
        <v>48</v>
      </c>
      <c r="B8" s="2" t="s">
        <v>92</v>
      </c>
      <c r="C8" s="2">
        <v>130</v>
      </c>
      <c r="D8" s="2" t="s">
        <v>17</v>
      </c>
      <c r="E8" s="2" t="s">
        <v>17</v>
      </c>
      <c r="F8" s="2" t="s">
        <v>136</v>
      </c>
      <c r="G8" s="2" t="s">
        <v>180</v>
      </c>
      <c r="H8" s="2" t="s">
        <v>19</v>
      </c>
      <c r="I8" s="2" t="s">
        <v>224</v>
      </c>
      <c r="J8" s="4">
        <v>1000001001</v>
      </c>
      <c r="K8" s="5">
        <v>45196</v>
      </c>
      <c r="L8" s="2" t="str">
        <f ca="1">IF(Table3[[#This Row],[Sequence Status]]="Replied", Table3[[#This Row],[Sequence Step]],IF(TODAY()-K8&lt;=8,"Step 1",IF(TODAY()-K8&lt;=16,"Step 2",IF(TODAY()-K8&lt;=24,"Step 3",IF(TODAY()-K8&lt;=31,"Step 4",IF(TODAY()-K8&lt;=38,"Step 5",IF(TODAY()-K8&lt;=41,"Step 6","")))))))</f>
        <v/>
      </c>
      <c r="M8" s="2" t="s">
        <v>20</v>
      </c>
      <c r="N8" s="2" t="s">
        <v>16</v>
      </c>
    </row>
    <row r="9" spans="1:14" x14ac:dyDescent="0.3">
      <c r="A9" s="2" t="s">
        <v>49</v>
      </c>
      <c r="B9" s="2" t="s">
        <v>93</v>
      </c>
      <c r="C9" s="2">
        <v>190</v>
      </c>
      <c r="D9" s="2" t="s">
        <v>17</v>
      </c>
      <c r="E9" s="2" t="s">
        <v>17</v>
      </c>
      <c r="F9" s="2" t="s">
        <v>137</v>
      </c>
      <c r="G9" s="2" t="s">
        <v>181</v>
      </c>
      <c r="H9" s="2" t="s">
        <v>28</v>
      </c>
      <c r="I9" s="2" t="s">
        <v>225</v>
      </c>
      <c r="J9" s="4">
        <v>1000001001</v>
      </c>
      <c r="K9" s="5">
        <v>45196</v>
      </c>
      <c r="L9" s="2" t="str">
        <f ca="1">IF(Table3[[#This Row],[Sequence Status]]="Replied", Table3[[#This Row],[Sequence Step]],IF(TODAY()-K9&lt;=8,"Step 1",IF(TODAY()-K9&lt;=16,"Step 2",IF(TODAY()-K9&lt;=24,"Step 3",IF(TODAY()-K9&lt;=31,"Step 4",IF(TODAY()-K9&lt;=38,"Step 5",IF(TODAY()-K9&lt;=41,"Step 6","")))))))</f>
        <v/>
      </c>
      <c r="M9" s="2" t="s">
        <v>20</v>
      </c>
      <c r="N9" s="2" t="s">
        <v>16</v>
      </c>
    </row>
    <row r="10" spans="1:14" x14ac:dyDescent="0.3">
      <c r="A10" s="2" t="s">
        <v>50</v>
      </c>
      <c r="B10" s="2" t="s">
        <v>94</v>
      </c>
      <c r="C10" s="2">
        <v>1100</v>
      </c>
      <c r="D10" s="2" t="s">
        <v>17</v>
      </c>
      <c r="E10" s="2" t="s">
        <v>17</v>
      </c>
      <c r="F10" s="2" t="s">
        <v>138</v>
      </c>
      <c r="G10" s="2" t="s">
        <v>182</v>
      </c>
      <c r="H10" s="2" t="s">
        <v>22</v>
      </c>
      <c r="I10" s="2" t="s">
        <v>226</v>
      </c>
      <c r="J10" s="4">
        <v>1000001001</v>
      </c>
      <c r="K10" s="5">
        <v>45196</v>
      </c>
      <c r="L10" s="2" t="str">
        <f ca="1">IF(Table3[[#This Row],[Sequence Status]]="Replied", Table3[[#This Row],[Sequence Step]],IF(TODAY()-K10&lt;=8,"Step 1",IF(TODAY()-K10&lt;=16,"Step 2",IF(TODAY()-K10&lt;=24,"Step 3",IF(TODAY()-K10&lt;=31,"Step 4",IF(TODAY()-K10&lt;=38,"Step 5",IF(TODAY()-K10&lt;=41,"Step 6","")))))))</f>
        <v/>
      </c>
      <c r="M10" s="2" t="s">
        <v>20</v>
      </c>
      <c r="N10" s="2" t="s">
        <v>16</v>
      </c>
    </row>
    <row r="11" spans="1:14" x14ac:dyDescent="0.3">
      <c r="A11" s="2" t="s">
        <v>51</v>
      </c>
      <c r="B11" s="2" t="s">
        <v>95</v>
      </c>
      <c r="C11" s="2">
        <v>25000</v>
      </c>
      <c r="D11" s="2" t="s">
        <v>17</v>
      </c>
      <c r="E11" s="2" t="s">
        <v>17</v>
      </c>
      <c r="F11" s="2" t="s">
        <v>139</v>
      </c>
      <c r="G11" s="2" t="s">
        <v>183</v>
      </c>
      <c r="H11" s="2" t="s">
        <v>24</v>
      </c>
      <c r="I11" s="2" t="s">
        <v>227</v>
      </c>
      <c r="J11" s="4">
        <v>1000001001</v>
      </c>
      <c r="K11" s="5">
        <v>45196</v>
      </c>
      <c r="L11" s="2" t="str">
        <f ca="1">IF(Table3[[#This Row],[Sequence Status]]="Replied", Table3[[#This Row],[Sequence Step]],IF(TODAY()-K11&lt;=8,"Step 1",IF(TODAY()-K11&lt;=16,"Step 2",IF(TODAY()-K11&lt;=24,"Step 3",IF(TODAY()-K11&lt;=31,"Step 4",IF(TODAY()-K11&lt;=38,"Step 5",IF(TODAY()-K11&lt;=41,"Step 6","")))))))</f>
        <v/>
      </c>
      <c r="M11" s="2" t="s">
        <v>20</v>
      </c>
      <c r="N11" s="2" t="s">
        <v>16</v>
      </c>
    </row>
    <row r="12" spans="1:14" x14ac:dyDescent="0.3">
      <c r="A12" s="2" t="s">
        <v>52</v>
      </c>
      <c r="B12" s="2" t="s">
        <v>96</v>
      </c>
      <c r="C12" s="2">
        <v>250</v>
      </c>
      <c r="D12" s="2" t="s">
        <v>17</v>
      </c>
      <c r="E12" s="2" t="s">
        <v>17</v>
      </c>
      <c r="F12" s="2" t="s">
        <v>140</v>
      </c>
      <c r="G12" s="2" t="s">
        <v>184</v>
      </c>
      <c r="H12" s="2" t="s">
        <v>21</v>
      </c>
      <c r="I12" s="2" t="s">
        <v>228</v>
      </c>
      <c r="J12" s="4">
        <v>1000001001</v>
      </c>
      <c r="K12" s="5">
        <v>45196</v>
      </c>
      <c r="L12" s="2" t="str">
        <f ca="1">IF(Table3[[#This Row],[Sequence Status]]="Replied", Table3[[#This Row],[Sequence Step]],IF(TODAY()-K12&lt;=8,"Step 1",IF(TODAY()-K12&lt;=16,"Step 2",IF(TODAY()-K12&lt;=24,"Step 3",IF(TODAY()-K12&lt;=31,"Step 4",IF(TODAY()-K12&lt;=38,"Step 5",IF(TODAY()-K12&lt;=41,"Step 6","")))))))</f>
        <v/>
      </c>
      <c r="M12" s="2" t="s">
        <v>20</v>
      </c>
      <c r="N12" s="2" t="s">
        <v>16</v>
      </c>
    </row>
    <row r="13" spans="1:14" x14ac:dyDescent="0.3">
      <c r="A13" s="2" t="s">
        <v>53</v>
      </c>
      <c r="B13" s="2" t="s">
        <v>97</v>
      </c>
      <c r="C13" s="2">
        <v>300</v>
      </c>
      <c r="D13" s="2" t="s">
        <v>17</v>
      </c>
      <c r="E13" s="2" t="s">
        <v>17</v>
      </c>
      <c r="F13" s="2" t="s">
        <v>141</v>
      </c>
      <c r="G13" s="2" t="s">
        <v>185</v>
      </c>
      <c r="H13" s="2" t="s">
        <v>21</v>
      </c>
      <c r="I13" s="2" t="s">
        <v>229</v>
      </c>
      <c r="J13" s="4">
        <v>1000001001</v>
      </c>
      <c r="K13" s="5">
        <v>45196</v>
      </c>
      <c r="L13" s="2" t="str">
        <f ca="1">IF(Table3[[#This Row],[Sequence Status]]="Replied", Table3[[#This Row],[Sequence Step]],IF(TODAY()-K13&lt;=8,"Step 1",IF(TODAY()-K13&lt;=16,"Step 2",IF(TODAY()-K13&lt;=24,"Step 3",IF(TODAY()-K13&lt;=31,"Step 4",IF(TODAY()-K13&lt;=38,"Step 5",IF(TODAY()-K13&lt;=41,"Step 6","")))))))</f>
        <v/>
      </c>
      <c r="M13" s="2" t="s">
        <v>20</v>
      </c>
      <c r="N13" s="2" t="s">
        <v>16</v>
      </c>
    </row>
    <row r="14" spans="1:14" x14ac:dyDescent="0.3">
      <c r="A14" s="2" t="s">
        <v>54</v>
      </c>
      <c r="B14" s="2" t="s">
        <v>98</v>
      </c>
      <c r="C14" s="2">
        <v>62000</v>
      </c>
      <c r="D14" s="2" t="s">
        <v>17</v>
      </c>
      <c r="E14" s="2" t="s">
        <v>17</v>
      </c>
      <c r="F14" s="2" t="s">
        <v>142</v>
      </c>
      <c r="G14" s="2" t="s">
        <v>186</v>
      </c>
      <c r="H14" s="2" t="s">
        <v>31</v>
      </c>
      <c r="I14" s="2" t="s">
        <v>230</v>
      </c>
      <c r="J14" s="4">
        <v>1000001001</v>
      </c>
      <c r="K14" s="5">
        <v>45196</v>
      </c>
      <c r="L14" s="2" t="str">
        <f ca="1">IF(Table3[[#This Row],[Sequence Status]]="Replied", Table3[[#This Row],[Sequence Step]],IF(TODAY()-K14&lt;=8,"Step 1",IF(TODAY()-K14&lt;=16,"Step 2",IF(TODAY()-K14&lt;=24,"Step 3",IF(TODAY()-K14&lt;=31,"Step 4",IF(TODAY()-K14&lt;=38,"Step 5",IF(TODAY()-K14&lt;=41,"Step 6","")))))))</f>
        <v/>
      </c>
      <c r="M14" s="2" t="s">
        <v>20</v>
      </c>
      <c r="N14" s="2" t="s">
        <v>16</v>
      </c>
    </row>
    <row r="15" spans="1:14" x14ac:dyDescent="0.3">
      <c r="A15" s="2" t="s">
        <v>55</v>
      </c>
      <c r="B15" s="2" t="s">
        <v>99</v>
      </c>
      <c r="C15" s="2">
        <v>1400</v>
      </c>
      <c r="D15" s="2" t="s">
        <v>17</v>
      </c>
      <c r="E15" s="2" t="s">
        <v>17</v>
      </c>
      <c r="F15" s="2" t="s">
        <v>143</v>
      </c>
      <c r="G15" s="2" t="s">
        <v>187</v>
      </c>
      <c r="H15" s="2" t="s">
        <v>24</v>
      </c>
      <c r="I15" s="2" t="s">
        <v>231</v>
      </c>
      <c r="J15" s="4">
        <v>1000001001</v>
      </c>
      <c r="K15" s="5">
        <v>45196</v>
      </c>
      <c r="L15" s="2" t="str">
        <f ca="1">IF(Table3[[#This Row],[Sequence Status]]="Replied", Table3[[#This Row],[Sequence Step]],IF(TODAY()-K15&lt;=8,"Step 1",IF(TODAY()-K15&lt;=16,"Step 2",IF(TODAY()-K15&lt;=24,"Step 3",IF(TODAY()-K15&lt;=31,"Step 4",IF(TODAY()-K15&lt;=38,"Step 5",IF(TODAY()-K15&lt;=41,"Step 6","")))))))</f>
        <v/>
      </c>
      <c r="M15" s="2" t="s">
        <v>20</v>
      </c>
      <c r="N15" s="2" t="s">
        <v>16</v>
      </c>
    </row>
    <row r="16" spans="1:14" x14ac:dyDescent="0.3">
      <c r="A16" s="2" t="s">
        <v>56</v>
      </c>
      <c r="B16" s="2" t="s">
        <v>100</v>
      </c>
      <c r="C16" s="2">
        <v>280</v>
      </c>
      <c r="D16" s="2" t="s">
        <v>17</v>
      </c>
      <c r="E16" s="2" t="s">
        <v>17</v>
      </c>
      <c r="F16" s="2" t="s">
        <v>144</v>
      </c>
      <c r="G16" s="2" t="s">
        <v>188</v>
      </c>
      <c r="H16" s="2" t="s">
        <v>22</v>
      </c>
      <c r="I16" s="2" t="s">
        <v>232</v>
      </c>
      <c r="J16" s="4">
        <v>1000001001</v>
      </c>
      <c r="K16" s="5">
        <v>45196</v>
      </c>
      <c r="L16" s="2" t="str">
        <f ca="1">IF(Table3[[#This Row],[Sequence Status]]="Replied", Table3[[#This Row],[Sequence Step]],IF(TODAY()-K16&lt;=8,"Step 1",IF(TODAY()-K16&lt;=16,"Step 2",IF(TODAY()-K16&lt;=24,"Step 3",IF(TODAY()-K16&lt;=31,"Step 4",IF(TODAY()-K16&lt;=38,"Step 5",IF(TODAY()-K16&lt;=41,"Step 6","")))))))</f>
        <v/>
      </c>
      <c r="M16" s="2" t="s">
        <v>20</v>
      </c>
      <c r="N16" s="2" t="s">
        <v>16</v>
      </c>
    </row>
    <row r="17" spans="1:14" x14ac:dyDescent="0.3">
      <c r="A17" s="2" t="s">
        <v>57</v>
      </c>
      <c r="B17" s="2" t="s">
        <v>101</v>
      </c>
      <c r="C17" s="2">
        <v>130</v>
      </c>
      <c r="D17" s="2" t="s">
        <v>17</v>
      </c>
      <c r="E17" s="2" t="s">
        <v>17</v>
      </c>
      <c r="F17" s="2" t="s">
        <v>145</v>
      </c>
      <c r="G17" s="2" t="s">
        <v>189</v>
      </c>
      <c r="H17" s="2" t="s">
        <v>25</v>
      </c>
      <c r="I17" s="2" t="s">
        <v>233</v>
      </c>
      <c r="J17" s="4">
        <v>1000001001</v>
      </c>
      <c r="K17" s="5">
        <v>45196</v>
      </c>
      <c r="L17" s="2" t="str">
        <f ca="1">IF(Table3[[#This Row],[Sequence Status]]="Replied", Table3[[#This Row],[Sequence Step]],IF(TODAY()-K17&lt;=8,"Step 1",IF(TODAY()-K17&lt;=16,"Step 2",IF(TODAY()-K17&lt;=24,"Step 3",IF(TODAY()-K17&lt;=31,"Step 4",IF(TODAY()-K17&lt;=38,"Step 5",IF(TODAY()-K17&lt;=41,"Step 6","")))))))</f>
        <v/>
      </c>
      <c r="M17" s="2" t="s">
        <v>20</v>
      </c>
      <c r="N17" s="2" t="s">
        <v>16</v>
      </c>
    </row>
    <row r="18" spans="1:14" ht="28.8" x14ac:dyDescent="0.3">
      <c r="A18" s="2" t="s">
        <v>58</v>
      </c>
      <c r="B18" s="2" t="s">
        <v>102</v>
      </c>
      <c r="C18" s="2">
        <v>1400</v>
      </c>
      <c r="D18" s="2" t="s">
        <v>17</v>
      </c>
      <c r="E18" s="2" t="s">
        <v>17</v>
      </c>
      <c r="F18" s="2" t="s">
        <v>146</v>
      </c>
      <c r="G18" s="2" t="s">
        <v>190</v>
      </c>
      <c r="H18" s="2" t="s">
        <v>32</v>
      </c>
      <c r="I18" s="2" t="s">
        <v>234</v>
      </c>
      <c r="J18" s="4">
        <v>1000001001</v>
      </c>
      <c r="K18" s="5">
        <v>45196</v>
      </c>
      <c r="L18" s="2" t="str">
        <f ca="1">IF(Table3[[#This Row],[Sequence Status]]="Replied", Table3[[#This Row],[Sequence Step]],IF(TODAY()-K18&lt;=8,"Step 1",IF(TODAY()-K18&lt;=16,"Step 2",IF(TODAY()-K18&lt;=24,"Step 3",IF(TODAY()-K18&lt;=31,"Step 4",IF(TODAY()-K18&lt;=38,"Step 5",IF(TODAY()-K18&lt;=41,"Step 6","")))))))</f>
        <v/>
      </c>
      <c r="M18" s="2" t="s">
        <v>20</v>
      </c>
      <c r="N18" s="2" t="s">
        <v>16</v>
      </c>
    </row>
    <row r="19" spans="1:14" x14ac:dyDescent="0.3">
      <c r="A19" s="2" t="s">
        <v>59</v>
      </c>
      <c r="B19" s="2" t="s">
        <v>103</v>
      </c>
      <c r="C19" s="2">
        <v>311000</v>
      </c>
      <c r="D19" s="2" t="s">
        <v>17</v>
      </c>
      <c r="E19" s="2" t="s">
        <v>17</v>
      </c>
      <c r="F19" s="2" t="s">
        <v>147</v>
      </c>
      <c r="G19" s="2" t="s">
        <v>191</v>
      </c>
      <c r="H19" s="2" t="s">
        <v>33</v>
      </c>
      <c r="I19" s="2" t="s">
        <v>235</v>
      </c>
      <c r="J19" s="4">
        <v>1000001001</v>
      </c>
      <c r="K19" s="5">
        <v>45196</v>
      </c>
      <c r="L19" s="2" t="str">
        <f ca="1">IF(Table3[[#This Row],[Sequence Status]]="Replied", Table3[[#This Row],[Sequence Step]],IF(TODAY()-K19&lt;=8,"Step 1",IF(TODAY()-K19&lt;=16,"Step 2",IF(TODAY()-K19&lt;=24,"Step 3",IF(TODAY()-K19&lt;=31,"Step 4",IF(TODAY()-K19&lt;=38,"Step 5",IF(TODAY()-K19&lt;=41,"Step 6","")))))))</f>
        <v/>
      </c>
      <c r="M19" s="2" t="s">
        <v>20</v>
      </c>
      <c r="N19" s="2" t="s">
        <v>16</v>
      </c>
    </row>
    <row r="20" spans="1:14" x14ac:dyDescent="0.3">
      <c r="A20" s="2" t="s">
        <v>60</v>
      </c>
      <c r="B20" s="2" t="s">
        <v>104</v>
      </c>
      <c r="C20" s="2">
        <v>180</v>
      </c>
      <c r="D20" s="2" t="s">
        <v>17</v>
      </c>
      <c r="E20" s="2" t="s">
        <v>17</v>
      </c>
      <c r="F20" s="2" t="s">
        <v>148</v>
      </c>
      <c r="G20" s="2" t="s">
        <v>192</v>
      </c>
      <c r="H20" s="2" t="s">
        <v>21</v>
      </c>
      <c r="I20" s="2" t="s">
        <v>236</v>
      </c>
      <c r="J20" s="4">
        <v>1000001001</v>
      </c>
      <c r="K20" s="5">
        <v>45196</v>
      </c>
      <c r="L20" s="2" t="str">
        <f ca="1">IF(Table3[[#This Row],[Sequence Status]]="Replied", Table3[[#This Row],[Sequence Step]],IF(TODAY()-K20&lt;=8,"Step 1",IF(TODAY()-K20&lt;=16,"Step 2",IF(TODAY()-K20&lt;=24,"Step 3",IF(TODAY()-K20&lt;=31,"Step 4",IF(TODAY()-K20&lt;=38,"Step 5",IF(TODAY()-K20&lt;=41,"Step 6","")))))))</f>
        <v/>
      </c>
      <c r="M20" s="2" t="s">
        <v>20</v>
      </c>
      <c r="N20" s="2" t="s">
        <v>16</v>
      </c>
    </row>
    <row r="21" spans="1:14" x14ac:dyDescent="0.3">
      <c r="A21" s="2" t="s">
        <v>61</v>
      </c>
      <c r="B21" s="2" t="s">
        <v>105</v>
      </c>
      <c r="C21" s="2">
        <v>1300</v>
      </c>
      <c r="D21" s="2" t="s">
        <v>17</v>
      </c>
      <c r="E21" s="2" t="s">
        <v>17</v>
      </c>
      <c r="F21" s="2" t="s">
        <v>149</v>
      </c>
      <c r="G21" s="2" t="s">
        <v>193</v>
      </c>
      <c r="H21" s="2" t="s">
        <v>34</v>
      </c>
      <c r="I21" s="2" t="s">
        <v>237</v>
      </c>
      <c r="J21" s="4">
        <v>1000001001</v>
      </c>
      <c r="K21" s="5">
        <v>45196</v>
      </c>
      <c r="L21" s="2" t="str">
        <f ca="1">IF(Table3[[#This Row],[Sequence Status]]="Replied", Table3[[#This Row],[Sequence Step]],IF(TODAY()-K21&lt;=8,"Step 1",IF(TODAY()-K21&lt;=16,"Step 2",IF(TODAY()-K21&lt;=24,"Step 3",IF(TODAY()-K21&lt;=31,"Step 4",IF(TODAY()-K21&lt;=38,"Step 5",IF(TODAY()-K21&lt;=41,"Step 6","")))))))</f>
        <v/>
      </c>
      <c r="M21" s="2" t="s">
        <v>20</v>
      </c>
      <c r="N21" s="2" t="s">
        <v>16</v>
      </c>
    </row>
    <row r="22" spans="1:14" x14ac:dyDescent="0.3">
      <c r="A22" s="2" t="s">
        <v>62</v>
      </c>
      <c r="B22" s="2" t="s">
        <v>106</v>
      </c>
      <c r="C22" s="2">
        <v>170</v>
      </c>
      <c r="D22" s="2" t="s">
        <v>17</v>
      </c>
      <c r="E22" s="2" t="s">
        <v>17</v>
      </c>
      <c r="F22" s="2" t="s">
        <v>150</v>
      </c>
      <c r="G22" s="2" t="s">
        <v>194</v>
      </c>
      <c r="H22" s="2" t="s">
        <v>23</v>
      </c>
      <c r="I22" s="2" t="s">
        <v>238</v>
      </c>
      <c r="J22" s="4">
        <v>1000001001</v>
      </c>
      <c r="K22" s="5">
        <v>45196</v>
      </c>
      <c r="L22" s="2" t="str">
        <f ca="1">IF(Table3[[#This Row],[Sequence Status]]="Replied", Table3[[#This Row],[Sequence Step]],IF(TODAY()-K22&lt;=8,"Step 1",IF(TODAY()-K22&lt;=16,"Step 2",IF(TODAY()-K22&lt;=24,"Step 3",IF(TODAY()-K22&lt;=31,"Step 4",IF(TODAY()-K22&lt;=38,"Step 5",IF(TODAY()-K22&lt;=41,"Step 6","")))))))</f>
        <v/>
      </c>
      <c r="M22" s="2" t="s">
        <v>20</v>
      </c>
      <c r="N22" s="2" t="s">
        <v>16</v>
      </c>
    </row>
    <row r="23" spans="1:14" x14ac:dyDescent="0.3">
      <c r="A23" s="2" t="s">
        <v>63</v>
      </c>
      <c r="B23" s="2" t="s">
        <v>107</v>
      </c>
      <c r="C23" s="2">
        <v>370</v>
      </c>
      <c r="D23" s="2" t="s">
        <v>17</v>
      </c>
      <c r="E23" s="2" t="s">
        <v>17</v>
      </c>
      <c r="F23" s="2" t="s">
        <v>151</v>
      </c>
      <c r="G23" s="2" t="s">
        <v>195</v>
      </c>
      <c r="H23" s="2" t="s">
        <v>22</v>
      </c>
      <c r="I23" s="2" t="s">
        <v>239</v>
      </c>
      <c r="J23" s="4">
        <v>1000001001</v>
      </c>
      <c r="K23" s="5">
        <v>45196</v>
      </c>
      <c r="L23" s="2" t="str">
        <f ca="1">IF(Table3[[#This Row],[Sequence Status]]="Replied", Table3[[#This Row],[Sequence Step]],IF(TODAY()-K23&lt;=8,"Step 1",IF(TODAY()-K23&lt;=16,"Step 2",IF(TODAY()-K23&lt;=24,"Step 3",IF(TODAY()-K23&lt;=31,"Step 4",IF(TODAY()-K23&lt;=38,"Step 5",IF(TODAY()-K23&lt;=41,"Step 6","")))))))</f>
        <v/>
      </c>
      <c r="M23" s="2" t="s">
        <v>20</v>
      </c>
      <c r="N23" s="2" t="s">
        <v>16</v>
      </c>
    </row>
    <row r="24" spans="1:14" x14ac:dyDescent="0.3">
      <c r="A24" s="2" t="s">
        <v>64</v>
      </c>
      <c r="B24" s="2" t="s">
        <v>108</v>
      </c>
      <c r="C24" s="2">
        <v>200</v>
      </c>
      <c r="D24" s="2" t="s">
        <v>17</v>
      </c>
      <c r="E24" s="2" t="s">
        <v>17</v>
      </c>
      <c r="F24" s="2" t="s">
        <v>152</v>
      </c>
      <c r="G24" s="2" t="s">
        <v>196</v>
      </c>
      <c r="H24" s="2" t="s">
        <v>35</v>
      </c>
      <c r="I24" s="2" t="s">
        <v>240</v>
      </c>
      <c r="J24" s="4">
        <v>1000001001</v>
      </c>
      <c r="K24" s="5">
        <v>45196</v>
      </c>
      <c r="L24" s="2" t="str">
        <f ca="1">IF(Table3[[#This Row],[Sequence Status]]="Replied", Table3[[#This Row],[Sequence Step]],IF(TODAY()-K24&lt;=8,"Step 1",IF(TODAY()-K24&lt;=16,"Step 2",IF(TODAY()-K24&lt;=24,"Step 3",IF(TODAY()-K24&lt;=31,"Step 4",IF(TODAY()-K24&lt;=38,"Step 5",IF(TODAY()-K24&lt;=41,"Step 6","")))))))</f>
        <v/>
      </c>
      <c r="M24" s="2" t="s">
        <v>20</v>
      </c>
      <c r="N24" s="2" t="s">
        <v>16</v>
      </c>
    </row>
    <row r="25" spans="1:14" x14ac:dyDescent="0.3">
      <c r="A25" s="2" t="s">
        <v>65</v>
      </c>
      <c r="B25" s="2" t="s">
        <v>109</v>
      </c>
      <c r="C25" s="2">
        <v>5300</v>
      </c>
      <c r="D25" s="2" t="s">
        <v>17</v>
      </c>
      <c r="E25" s="2" t="s">
        <v>17</v>
      </c>
      <c r="F25" s="2" t="s">
        <v>153</v>
      </c>
      <c r="G25" s="2" t="s">
        <v>197</v>
      </c>
      <c r="H25" s="2" t="s">
        <v>36</v>
      </c>
      <c r="I25" s="2" t="s">
        <v>241</v>
      </c>
      <c r="J25" s="4">
        <v>1000001001</v>
      </c>
      <c r="K25" s="5">
        <v>45196</v>
      </c>
      <c r="L25" s="2" t="str">
        <f ca="1">IF(Table3[[#This Row],[Sequence Status]]="Replied", Table3[[#This Row],[Sequence Step]],IF(TODAY()-K25&lt;=8,"Step 1",IF(TODAY()-K25&lt;=16,"Step 2",IF(TODAY()-K25&lt;=24,"Step 3",IF(TODAY()-K25&lt;=31,"Step 4",IF(TODAY()-K25&lt;=38,"Step 5",IF(TODAY()-K25&lt;=41,"Step 6","")))))))</f>
        <v/>
      </c>
      <c r="M25" s="2" t="s">
        <v>20</v>
      </c>
      <c r="N25" s="2" t="s">
        <v>16</v>
      </c>
    </row>
    <row r="26" spans="1:14" x14ac:dyDescent="0.3">
      <c r="A26" s="2" t="s">
        <v>66</v>
      </c>
      <c r="B26" s="2" t="s">
        <v>110</v>
      </c>
      <c r="C26" s="2">
        <v>4600</v>
      </c>
      <c r="D26" s="2" t="s">
        <v>17</v>
      </c>
      <c r="E26" s="2" t="s">
        <v>17</v>
      </c>
      <c r="F26" s="2" t="s">
        <v>154</v>
      </c>
      <c r="G26" s="2" t="s">
        <v>198</v>
      </c>
      <c r="H26" s="2" t="s">
        <v>24</v>
      </c>
      <c r="I26" s="2" t="s">
        <v>242</v>
      </c>
      <c r="J26" s="4">
        <v>1000001001</v>
      </c>
      <c r="K26" s="5">
        <v>45196</v>
      </c>
      <c r="L26" s="2" t="str">
        <f ca="1">IF(Table3[[#This Row],[Sequence Status]]="Replied", Table3[[#This Row],[Sequence Step]],IF(TODAY()-K26&lt;=8,"Step 1",IF(TODAY()-K26&lt;=16,"Step 2",IF(TODAY()-K26&lt;=24,"Step 3",IF(TODAY()-K26&lt;=31,"Step 4",IF(TODAY()-K26&lt;=38,"Step 5",IF(TODAY()-K26&lt;=41,"Step 6","")))))))</f>
        <v/>
      </c>
      <c r="M26" s="2" t="s">
        <v>20</v>
      </c>
      <c r="N26" s="2" t="s">
        <v>16</v>
      </c>
    </row>
    <row r="27" spans="1:14" x14ac:dyDescent="0.3">
      <c r="A27" s="2" t="s">
        <v>67</v>
      </c>
      <c r="B27" s="2" t="s">
        <v>111</v>
      </c>
      <c r="C27" s="2">
        <v>350</v>
      </c>
      <c r="D27" s="2" t="s">
        <v>17</v>
      </c>
      <c r="E27" s="2" t="s">
        <v>17</v>
      </c>
      <c r="F27" s="2" t="s">
        <v>155</v>
      </c>
      <c r="G27" s="2" t="s">
        <v>199</v>
      </c>
      <c r="H27" s="2" t="s">
        <v>37</v>
      </c>
      <c r="I27" s="2" t="s">
        <v>243</v>
      </c>
      <c r="J27" s="4">
        <v>1000001001</v>
      </c>
      <c r="K27" s="5">
        <v>45196</v>
      </c>
      <c r="L27" s="2" t="str">
        <f ca="1">IF(Table3[[#This Row],[Sequence Status]]="Replied", Table3[[#This Row],[Sequence Step]],IF(TODAY()-K27&lt;=8,"Step 1",IF(TODAY()-K27&lt;=16,"Step 2",IF(TODAY()-K27&lt;=24,"Step 3",IF(TODAY()-K27&lt;=31,"Step 4",IF(TODAY()-K27&lt;=38,"Step 5",IF(TODAY()-K27&lt;=41,"Step 6","")))))))</f>
        <v/>
      </c>
      <c r="M27" s="2" t="s">
        <v>20</v>
      </c>
      <c r="N27" s="2" t="s">
        <v>16</v>
      </c>
    </row>
    <row r="28" spans="1:14" x14ac:dyDescent="0.3">
      <c r="A28" s="2" t="s">
        <v>68</v>
      </c>
      <c r="B28" s="2" t="s">
        <v>112</v>
      </c>
      <c r="C28" s="2">
        <v>300</v>
      </c>
      <c r="D28" s="2" t="s">
        <v>17</v>
      </c>
      <c r="E28" s="2" t="s">
        <v>17</v>
      </c>
      <c r="F28" s="2" t="s">
        <v>156</v>
      </c>
      <c r="G28" s="2" t="s">
        <v>200</v>
      </c>
      <c r="H28" s="2" t="s">
        <v>38</v>
      </c>
      <c r="I28" s="2" t="s">
        <v>244</v>
      </c>
      <c r="J28" s="4">
        <v>1000001001</v>
      </c>
      <c r="K28" s="5">
        <v>45196</v>
      </c>
      <c r="L28" s="2" t="str">
        <f ca="1">IF(Table3[[#This Row],[Sequence Status]]="Replied", Table3[[#This Row],[Sequence Step]],IF(TODAY()-K28&lt;=8,"Step 1",IF(TODAY()-K28&lt;=16,"Step 2",IF(TODAY()-K28&lt;=24,"Step 3",IF(TODAY()-K28&lt;=31,"Step 4",IF(TODAY()-K28&lt;=38,"Step 5",IF(TODAY()-K28&lt;=41,"Step 6","")))))))</f>
        <v/>
      </c>
      <c r="M28" s="2" t="s">
        <v>20</v>
      </c>
      <c r="N28" s="2" t="s">
        <v>16</v>
      </c>
    </row>
    <row r="29" spans="1:14" x14ac:dyDescent="0.3">
      <c r="A29" s="2" t="s">
        <v>69</v>
      </c>
      <c r="B29" s="2" t="s">
        <v>113</v>
      </c>
      <c r="C29" s="2">
        <v>240</v>
      </c>
      <c r="D29" s="2" t="s">
        <v>17</v>
      </c>
      <c r="E29" s="2" t="s">
        <v>17</v>
      </c>
      <c r="F29" s="2" t="s">
        <v>157</v>
      </c>
      <c r="G29" s="2" t="s">
        <v>201</v>
      </c>
      <c r="H29" s="2" t="s">
        <v>38</v>
      </c>
      <c r="I29" s="2" t="s">
        <v>245</v>
      </c>
      <c r="J29" s="4">
        <v>1000001001</v>
      </c>
      <c r="K29" s="5">
        <v>45196</v>
      </c>
      <c r="L29" s="2" t="str">
        <f ca="1">IF(Table3[[#This Row],[Sequence Status]]="Replied", Table3[[#This Row],[Sequence Step]],IF(TODAY()-K29&lt;=8,"Step 1",IF(TODAY()-K29&lt;=16,"Step 2",IF(TODAY()-K29&lt;=24,"Step 3",IF(TODAY()-K29&lt;=31,"Step 4",IF(TODAY()-K29&lt;=38,"Step 5",IF(TODAY()-K29&lt;=41,"Step 6","")))))))</f>
        <v/>
      </c>
      <c r="M29" s="2" t="s">
        <v>20</v>
      </c>
      <c r="N29" s="2" t="s">
        <v>16</v>
      </c>
    </row>
    <row r="30" spans="1:14" x14ac:dyDescent="0.3">
      <c r="A30" s="2" t="s">
        <v>70</v>
      </c>
      <c r="B30" s="2" t="s">
        <v>114</v>
      </c>
      <c r="C30" s="2">
        <v>2200</v>
      </c>
      <c r="D30" s="2" t="s">
        <v>17</v>
      </c>
      <c r="E30" s="2" t="s">
        <v>17</v>
      </c>
      <c r="F30" s="2" t="s">
        <v>158</v>
      </c>
      <c r="G30" s="2" t="s">
        <v>202</v>
      </c>
      <c r="H30" s="2" t="s">
        <v>22</v>
      </c>
      <c r="I30" s="2" t="s">
        <v>246</v>
      </c>
      <c r="J30" s="4">
        <v>1000001001</v>
      </c>
      <c r="K30" s="5">
        <v>45196</v>
      </c>
      <c r="L30" s="2" t="str">
        <f ca="1">IF(Table3[[#This Row],[Sequence Status]]="Replied", Table3[[#This Row],[Sequence Step]],IF(TODAY()-K30&lt;=8,"Step 1",IF(TODAY()-K30&lt;=16,"Step 2",IF(TODAY()-K30&lt;=24,"Step 3",IF(TODAY()-K30&lt;=31,"Step 4",IF(TODAY()-K30&lt;=38,"Step 5",IF(TODAY()-K30&lt;=41,"Step 6","")))))))</f>
        <v/>
      </c>
      <c r="M30" s="2" t="s">
        <v>20</v>
      </c>
      <c r="N30" s="2" t="s">
        <v>16</v>
      </c>
    </row>
    <row r="31" spans="1:14" x14ac:dyDescent="0.3">
      <c r="A31" s="2" t="s">
        <v>71</v>
      </c>
      <c r="B31" s="2" t="s">
        <v>115</v>
      </c>
      <c r="C31" s="2">
        <v>220</v>
      </c>
      <c r="D31" s="2" t="s">
        <v>17</v>
      </c>
      <c r="E31" s="2" t="s">
        <v>17</v>
      </c>
      <c r="F31" s="2" t="s">
        <v>159</v>
      </c>
      <c r="G31" s="2" t="s">
        <v>203</v>
      </c>
      <c r="H31" s="2" t="s">
        <v>22</v>
      </c>
      <c r="I31" s="2" t="s">
        <v>247</v>
      </c>
      <c r="J31" s="4">
        <v>1000001001</v>
      </c>
      <c r="K31" s="5">
        <v>45196</v>
      </c>
      <c r="L31" s="2" t="str">
        <f ca="1">IF(Table3[[#This Row],[Sequence Status]]="Replied", Table3[[#This Row],[Sequence Step]],IF(TODAY()-K31&lt;=8,"Step 1",IF(TODAY()-K31&lt;=16,"Step 2",IF(TODAY()-K31&lt;=24,"Step 3",IF(TODAY()-K31&lt;=31,"Step 4",IF(TODAY()-K31&lt;=38,"Step 5",IF(TODAY()-K31&lt;=41,"Step 6","")))))))</f>
        <v/>
      </c>
      <c r="M31" s="2" t="s">
        <v>20</v>
      </c>
      <c r="N31" s="2" t="s">
        <v>16</v>
      </c>
    </row>
    <row r="32" spans="1:14" x14ac:dyDescent="0.3">
      <c r="A32" s="2" t="s">
        <v>72</v>
      </c>
      <c r="B32" s="2" t="s">
        <v>116</v>
      </c>
      <c r="C32" s="2">
        <v>120</v>
      </c>
      <c r="D32" s="2" t="s">
        <v>17</v>
      </c>
      <c r="E32" s="2" t="s">
        <v>17</v>
      </c>
      <c r="F32" s="2" t="s">
        <v>160</v>
      </c>
      <c r="G32" s="2" t="s">
        <v>204</v>
      </c>
      <c r="H32" s="2" t="s">
        <v>22</v>
      </c>
      <c r="I32" s="2" t="s">
        <v>248</v>
      </c>
      <c r="J32" s="4">
        <v>1000001001</v>
      </c>
      <c r="K32" s="5">
        <v>45196</v>
      </c>
      <c r="L32" s="2" t="str">
        <f ca="1">IF(Table3[[#This Row],[Sequence Status]]="Replied", Table3[[#This Row],[Sequence Step]],IF(TODAY()-K32&lt;=8,"Step 1",IF(TODAY()-K32&lt;=16,"Step 2",IF(TODAY()-K32&lt;=24,"Step 3",IF(TODAY()-K32&lt;=31,"Step 4",IF(TODAY()-K32&lt;=38,"Step 5",IF(TODAY()-K32&lt;=41,"Step 6","")))))))</f>
        <v/>
      </c>
      <c r="M32" s="2" t="s">
        <v>20</v>
      </c>
      <c r="N32" s="2" t="s">
        <v>16</v>
      </c>
    </row>
    <row r="33" spans="1:14" ht="28.8" x14ac:dyDescent="0.3">
      <c r="A33" s="2" t="s">
        <v>73</v>
      </c>
      <c r="B33" s="2" t="s">
        <v>117</v>
      </c>
      <c r="C33" s="2">
        <v>540</v>
      </c>
      <c r="D33" s="2" t="s">
        <v>17</v>
      </c>
      <c r="E33" s="2" t="s">
        <v>17</v>
      </c>
      <c r="F33" s="2" t="s">
        <v>161</v>
      </c>
      <c r="G33" s="2" t="s">
        <v>205</v>
      </c>
      <c r="H33" s="2" t="s">
        <v>27</v>
      </c>
      <c r="I33" s="2" t="s">
        <v>249</v>
      </c>
      <c r="J33" s="4">
        <v>1000001001</v>
      </c>
      <c r="K33" s="5">
        <v>45196</v>
      </c>
      <c r="L33" s="2" t="str">
        <f ca="1">IF(Table3[[#This Row],[Sequence Status]]="Replied", Table3[[#This Row],[Sequence Step]],IF(TODAY()-K33&lt;=8,"Step 1",IF(TODAY()-K33&lt;=16,"Step 2",IF(TODAY()-K33&lt;=24,"Step 3",IF(TODAY()-K33&lt;=31,"Step 4",IF(TODAY()-K33&lt;=38,"Step 5",IF(TODAY()-K33&lt;=41,"Step 6","")))))))</f>
        <v/>
      </c>
      <c r="M33" s="2" t="s">
        <v>20</v>
      </c>
      <c r="N33" s="2" t="s">
        <v>16</v>
      </c>
    </row>
    <row r="34" spans="1:14" x14ac:dyDescent="0.3">
      <c r="A34" s="2" t="s">
        <v>74</v>
      </c>
      <c r="B34" s="2" t="s">
        <v>118</v>
      </c>
      <c r="C34" s="2">
        <v>360</v>
      </c>
      <c r="D34" s="2" t="s">
        <v>17</v>
      </c>
      <c r="E34" s="2" t="s">
        <v>17</v>
      </c>
      <c r="F34" s="2" t="s">
        <v>162</v>
      </c>
      <c r="G34" s="2" t="s">
        <v>206</v>
      </c>
      <c r="H34" s="2" t="s">
        <v>24</v>
      </c>
      <c r="I34" s="2" t="s">
        <v>250</v>
      </c>
      <c r="J34" s="4">
        <v>1000001001</v>
      </c>
      <c r="K34" s="5">
        <v>45196</v>
      </c>
      <c r="L34" s="2" t="str">
        <f ca="1">IF(Table3[[#This Row],[Sequence Status]]="Replied", Table3[[#This Row],[Sequence Step]],IF(TODAY()-K34&lt;=8,"Step 1",IF(TODAY()-K34&lt;=16,"Step 2",IF(TODAY()-K34&lt;=24,"Step 3",IF(TODAY()-K34&lt;=31,"Step 4",IF(TODAY()-K34&lt;=38,"Step 5",IF(TODAY()-K34&lt;=41,"Step 6","")))))))</f>
        <v/>
      </c>
      <c r="M34" s="2" t="s">
        <v>20</v>
      </c>
      <c r="N34" s="2" t="s">
        <v>16</v>
      </c>
    </row>
    <row r="35" spans="1:14" x14ac:dyDescent="0.3">
      <c r="A35" s="2" t="s">
        <v>75</v>
      </c>
      <c r="B35" s="2" t="s">
        <v>119</v>
      </c>
      <c r="C35" s="2">
        <v>580</v>
      </c>
      <c r="D35" s="2" t="s">
        <v>17</v>
      </c>
      <c r="E35" s="2" t="s">
        <v>17</v>
      </c>
      <c r="F35" s="2" t="s">
        <v>163</v>
      </c>
      <c r="G35" s="2" t="s">
        <v>207</v>
      </c>
      <c r="H35" s="2" t="s">
        <v>22</v>
      </c>
      <c r="I35" s="2" t="s">
        <v>251</v>
      </c>
      <c r="J35" s="4">
        <v>1000001001</v>
      </c>
      <c r="K35" s="5">
        <v>45196</v>
      </c>
      <c r="L35" s="2" t="str">
        <f ca="1">IF(Table3[[#This Row],[Sequence Status]]="Replied", Table3[[#This Row],[Sequence Step]],IF(TODAY()-K35&lt;=8,"Step 1",IF(TODAY()-K35&lt;=16,"Step 2",IF(TODAY()-K35&lt;=24,"Step 3",IF(TODAY()-K35&lt;=31,"Step 4",IF(TODAY()-K35&lt;=38,"Step 5",IF(TODAY()-K35&lt;=41,"Step 6","")))))))</f>
        <v/>
      </c>
      <c r="M35" s="2" t="s">
        <v>20</v>
      </c>
      <c r="N35" s="2" t="s">
        <v>16</v>
      </c>
    </row>
    <row r="36" spans="1:14" x14ac:dyDescent="0.3">
      <c r="A36" s="2" t="s">
        <v>76</v>
      </c>
      <c r="B36" s="2" t="s">
        <v>120</v>
      </c>
      <c r="C36" s="2">
        <v>18</v>
      </c>
      <c r="D36" s="2" t="s">
        <v>17</v>
      </c>
      <c r="E36" s="2" t="s">
        <v>17</v>
      </c>
      <c r="F36" s="2" t="s">
        <v>164</v>
      </c>
      <c r="G36" s="2" t="s">
        <v>208</v>
      </c>
      <c r="H36" s="2" t="s">
        <v>23</v>
      </c>
      <c r="I36" s="2" t="s">
        <v>252</v>
      </c>
      <c r="J36" s="4">
        <v>1000001001</v>
      </c>
      <c r="K36" s="5">
        <v>45196</v>
      </c>
      <c r="L36" s="2" t="str">
        <f ca="1">IF(Table3[[#This Row],[Sequence Status]]="Replied", Table3[[#This Row],[Sequence Step]],IF(TODAY()-K36&lt;=8,"Step 1",IF(TODAY()-K36&lt;=16,"Step 2",IF(TODAY()-K36&lt;=24,"Step 3",IF(TODAY()-K36&lt;=31,"Step 4",IF(TODAY()-K36&lt;=38,"Step 5",IF(TODAY()-K36&lt;=41,"Step 6","")))))))</f>
        <v/>
      </c>
      <c r="M36" s="2" t="s">
        <v>20</v>
      </c>
      <c r="N36" s="2" t="s">
        <v>16</v>
      </c>
    </row>
    <row r="37" spans="1:14" x14ac:dyDescent="0.3">
      <c r="A37" s="2" t="s">
        <v>77</v>
      </c>
      <c r="B37" s="2" t="s">
        <v>121</v>
      </c>
      <c r="C37" s="2">
        <v>310</v>
      </c>
      <c r="D37" s="2" t="s">
        <v>17</v>
      </c>
      <c r="E37" s="2" t="s">
        <v>17</v>
      </c>
      <c r="F37" s="2" t="s">
        <v>165</v>
      </c>
      <c r="G37" s="2" t="s">
        <v>209</v>
      </c>
      <c r="H37" s="2" t="s">
        <v>22</v>
      </c>
      <c r="I37" s="2" t="s">
        <v>253</v>
      </c>
      <c r="J37" s="4">
        <v>1000001001</v>
      </c>
      <c r="K37" s="5">
        <v>45196</v>
      </c>
      <c r="L37" s="2" t="str">
        <f ca="1">IF(Table3[[#This Row],[Sequence Status]]="Replied", Table3[[#This Row],[Sequence Step]],IF(TODAY()-K37&lt;=8,"Step 1",IF(TODAY()-K37&lt;=16,"Step 2",IF(TODAY()-K37&lt;=24,"Step 3",IF(TODAY()-K37&lt;=31,"Step 4",IF(TODAY()-K37&lt;=38,"Step 5",IF(TODAY()-K37&lt;=41,"Step 6","")))))))</f>
        <v/>
      </c>
      <c r="M37" s="2" t="s">
        <v>20</v>
      </c>
      <c r="N37" s="2" t="s">
        <v>16</v>
      </c>
    </row>
    <row r="38" spans="1:14" ht="28.8" x14ac:dyDescent="0.3">
      <c r="A38" s="2" t="s">
        <v>78</v>
      </c>
      <c r="B38" s="2" t="s">
        <v>122</v>
      </c>
      <c r="C38" s="2">
        <v>1200</v>
      </c>
      <c r="D38" s="2" t="s">
        <v>17</v>
      </c>
      <c r="E38" s="2" t="s">
        <v>17</v>
      </c>
      <c r="F38" s="2" t="s">
        <v>166</v>
      </c>
      <c r="G38" s="2" t="s">
        <v>210</v>
      </c>
      <c r="H38" s="2" t="s">
        <v>39</v>
      </c>
      <c r="I38" s="2" t="s">
        <v>254</v>
      </c>
      <c r="J38" s="4">
        <v>1000001001</v>
      </c>
      <c r="K38" s="5">
        <v>45196</v>
      </c>
      <c r="L38" s="2" t="str">
        <f ca="1">IF(Table3[[#This Row],[Sequence Status]]="Replied", Table3[[#This Row],[Sequence Step]],IF(TODAY()-K38&lt;=8,"Step 1",IF(TODAY()-K38&lt;=16,"Step 2",IF(TODAY()-K38&lt;=24,"Step 3",IF(TODAY()-K38&lt;=31,"Step 4",IF(TODAY()-K38&lt;=38,"Step 5",IF(TODAY()-K38&lt;=41,"Step 6","")))))))</f>
        <v/>
      </c>
      <c r="M38" s="2" t="s">
        <v>20</v>
      </c>
      <c r="N38" s="2" t="s">
        <v>16</v>
      </c>
    </row>
    <row r="39" spans="1:14" x14ac:dyDescent="0.3">
      <c r="A39" s="2" t="s">
        <v>79</v>
      </c>
      <c r="B39" s="2" t="s">
        <v>123</v>
      </c>
      <c r="C39" s="2">
        <v>470</v>
      </c>
      <c r="D39" s="2" t="s">
        <v>17</v>
      </c>
      <c r="E39" s="2" t="s">
        <v>17</v>
      </c>
      <c r="F39" s="2" t="s">
        <v>167</v>
      </c>
      <c r="G39" s="2" t="s">
        <v>211</v>
      </c>
      <c r="H39" s="2" t="s">
        <v>24</v>
      </c>
      <c r="I39" s="2" t="s">
        <v>255</v>
      </c>
      <c r="J39" s="4">
        <v>1000001001</v>
      </c>
      <c r="K39" s="5">
        <v>45196</v>
      </c>
      <c r="L39" s="2" t="str">
        <f ca="1">IF(Table3[[#This Row],[Sequence Status]]="Replied", Table3[[#This Row],[Sequence Step]],IF(TODAY()-K39&lt;=8,"Step 1",IF(TODAY()-K39&lt;=16,"Step 2",IF(TODAY()-K39&lt;=24,"Step 3",IF(TODAY()-K39&lt;=31,"Step 4",IF(TODAY()-K39&lt;=38,"Step 5",IF(TODAY()-K39&lt;=41,"Step 6","")))))))</f>
        <v/>
      </c>
      <c r="M39" s="2" t="s">
        <v>20</v>
      </c>
      <c r="N39" s="2" t="s">
        <v>16</v>
      </c>
    </row>
    <row r="40" spans="1:14" x14ac:dyDescent="0.3">
      <c r="A40" s="2" t="s">
        <v>80</v>
      </c>
      <c r="B40" s="2" t="s">
        <v>124</v>
      </c>
      <c r="C40" s="2">
        <v>630</v>
      </c>
      <c r="D40" s="2" t="s">
        <v>17</v>
      </c>
      <c r="E40" s="2" t="s">
        <v>17</v>
      </c>
      <c r="F40" s="2" t="s">
        <v>168</v>
      </c>
      <c r="G40" s="2" t="s">
        <v>212</v>
      </c>
      <c r="H40" s="2" t="s">
        <v>21</v>
      </c>
      <c r="I40" s="2" t="s">
        <v>256</v>
      </c>
      <c r="J40" s="4">
        <v>1000001001</v>
      </c>
      <c r="K40" s="5">
        <v>45196</v>
      </c>
      <c r="L40" s="2" t="str">
        <f ca="1">IF(Table3[[#This Row],[Sequence Status]]="Replied", Table3[[#This Row],[Sequence Step]],IF(TODAY()-K40&lt;=8,"Step 1",IF(TODAY()-K40&lt;=16,"Step 2",IF(TODAY()-K40&lt;=24,"Step 3",IF(TODAY()-K40&lt;=31,"Step 4",IF(TODAY()-K40&lt;=38,"Step 5",IF(TODAY()-K40&lt;=41,"Step 6","")))))))</f>
        <v/>
      </c>
      <c r="M40" s="2" t="s">
        <v>20</v>
      </c>
      <c r="N40" s="2" t="s">
        <v>16</v>
      </c>
    </row>
    <row r="41" spans="1:14" x14ac:dyDescent="0.3">
      <c r="A41" s="2" t="s">
        <v>81</v>
      </c>
      <c r="B41" s="2" t="s">
        <v>125</v>
      </c>
      <c r="C41" s="2">
        <v>5900</v>
      </c>
      <c r="D41" s="2" t="s">
        <v>17</v>
      </c>
      <c r="E41" s="2" t="s">
        <v>17</v>
      </c>
      <c r="F41" s="2" t="s">
        <v>169</v>
      </c>
      <c r="G41" s="2" t="s">
        <v>213</v>
      </c>
      <c r="H41" s="2" t="s">
        <v>31</v>
      </c>
      <c r="I41" s="2" t="s">
        <v>257</v>
      </c>
      <c r="J41" s="4">
        <v>1000001001</v>
      </c>
      <c r="K41" s="5">
        <v>45196</v>
      </c>
      <c r="L41" s="2" t="str">
        <f ca="1">IF(Table3[[#This Row],[Sequence Status]]="Replied", Table3[[#This Row],[Sequence Step]],IF(TODAY()-K41&lt;=8,"Step 1",IF(TODAY()-K41&lt;=16,"Step 2",IF(TODAY()-K41&lt;=24,"Step 3",IF(TODAY()-K41&lt;=31,"Step 4",IF(TODAY()-K41&lt;=38,"Step 5",IF(TODAY()-K41&lt;=41,"Step 6","")))))))</f>
        <v/>
      </c>
      <c r="M41" s="2" t="s">
        <v>20</v>
      </c>
      <c r="N41" s="2" t="s">
        <v>16</v>
      </c>
    </row>
    <row r="42" spans="1:14" x14ac:dyDescent="0.3">
      <c r="A42" s="2" t="s">
        <v>82</v>
      </c>
      <c r="B42" s="2" t="s">
        <v>126</v>
      </c>
      <c r="C42" s="2">
        <v>160</v>
      </c>
      <c r="D42" s="2" t="s">
        <v>17</v>
      </c>
      <c r="E42" s="2" t="s">
        <v>17</v>
      </c>
      <c r="F42" s="2" t="s">
        <v>170</v>
      </c>
      <c r="G42" s="2" t="s">
        <v>214</v>
      </c>
      <c r="H42" s="2" t="s">
        <v>40</v>
      </c>
      <c r="I42" s="2" t="s">
        <v>258</v>
      </c>
      <c r="J42" s="4">
        <v>1000001001</v>
      </c>
      <c r="K42" s="5">
        <v>45196</v>
      </c>
      <c r="L42" s="2" t="str">
        <f ca="1">IF(Table3[[#This Row],[Sequence Status]]="Replied", Table3[[#This Row],[Sequence Step]],IF(TODAY()-K42&lt;=8,"Step 1",IF(TODAY()-K42&lt;=16,"Step 2",IF(TODAY()-K42&lt;=24,"Step 3",IF(TODAY()-K42&lt;=31,"Step 4",IF(TODAY()-K42&lt;=38,"Step 5",IF(TODAY()-K42&lt;=41,"Step 6","")))))))</f>
        <v/>
      </c>
      <c r="M42" s="2" t="s">
        <v>20</v>
      </c>
      <c r="N42" s="2" t="s">
        <v>16</v>
      </c>
    </row>
    <row r="43" spans="1:14" x14ac:dyDescent="0.3">
      <c r="A43" s="2" t="s">
        <v>83</v>
      </c>
      <c r="B43" s="2" t="s">
        <v>127</v>
      </c>
      <c r="C43" s="2">
        <v>160</v>
      </c>
      <c r="D43" s="2" t="s">
        <v>17</v>
      </c>
      <c r="E43" s="2" t="s">
        <v>17</v>
      </c>
      <c r="F43" s="2" t="s">
        <v>171</v>
      </c>
      <c r="G43" s="2" t="s">
        <v>215</v>
      </c>
      <c r="H43" s="2" t="s">
        <v>38</v>
      </c>
      <c r="I43" s="2" t="s">
        <v>259</v>
      </c>
      <c r="J43" s="4">
        <v>1000001001</v>
      </c>
      <c r="K43" s="5">
        <v>45196</v>
      </c>
      <c r="L43" s="2" t="str">
        <f ca="1">IF(Table3[[#This Row],[Sequence Status]]="Replied", Table3[[#This Row],[Sequence Step]],IF(TODAY()-K43&lt;=8,"Step 1",IF(TODAY()-K43&lt;=16,"Step 2",IF(TODAY()-K43&lt;=24,"Step 3",IF(TODAY()-K43&lt;=31,"Step 4",IF(TODAY()-K43&lt;=38,"Step 5",IF(TODAY()-K43&lt;=41,"Step 6","")))))))</f>
        <v/>
      </c>
      <c r="M43" s="2" t="s">
        <v>20</v>
      </c>
      <c r="N43" s="2" t="s">
        <v>16</v>
      </c>
    </row>
    <row r="44" spans="1:14" x14ac:dyDescent="0.3">
      <c r="A44" s="2" t="s">
        <v>84</v>
      </c>
      <c r="B44" s="2" t="s">
        <v>128</v>
      </c>
      <c r="C44" s="2">
        <v>200</v>
      </c>
      <c r="D44" s="2" t="s">
        <v>17</v>
      </c>
      <c r="E44" s="2" t="s">
        <v>17</v>
      </c>
      <c r="F44" s="2" t="s">
        <v>172</v>
      </c>
      <c r="G44" s="2" t="s">
        <v>216</v>
      </c>
      <c r="H44" s="2" t="s">
        <v>41</v>
      </c>
      <c r="I44" s="2" t="s">
        <v>260</v>
      </c>
      <c r="J44" s="4">
        <v>1000001001</v>
      </c>
      <c r="K44" s="5">
        <v>45196</v>
      </c>
      <c r="L44" s="2" t="str">
        <f ca="1">IF(Table3[[#This Row],[Sequence Status]]="Replied", Table3[[#This Row],[Sequence Step]],IF(TODAY()-K44&lt;=8,"Step 1",IF(TODAY()-K44&lt;=16,"Step 2",IF(TODAY()-K44&lt;=24,"Step 3",IF(TODAY()-K44&lt;=31,"Step 4",IF(TODAY()-K44&lt;=38,"Step 5",IF(TODAY()-K44&lt;=41,"Step 6","")))))))</f>
        <v/>
      </c>
      <c r="M44" s="2" t="s">
        <v>20</v>
      </c>
      <c r="N44" s="2" t="s">
        <v>16</v>
      </c>
    </row>
    <row r="45" spans="1:14" x14ac:dyDescent="0.3">
      <c r="A45" s="2" t="s">
        <v>85</v>
      </c>
      <c r="B45" s="2" t="s">
        <v>129</v>
      </c>
      <c r="C45" s="2">
        <v>350</v>
      </c>
      <c r="D45" s="2" t="s">
        <v>17</v>
      </c>
      <c r="E45" s="2" t="s">
        <v>17</v>
      </c>
      <c r="F45" s="2" t="s">
        <v>173</v>
      </c>
      <c r="G45" s="2" t="s">
        <v>217</v>
      </c>
      <c r="H45" s="2" t="s">
        <v>24</v>
      </c>
      <c r="I45" s="2" t="s">
        <v>261</v>
      </c>
      <c r="J45" s="4">
        <v>1000001001</v>
      </c>
      <c r="K45" s="5">
        <v>45196</v>
      </c>
      <c r="L45" s="2" t="str">
        <f ca="1">IF(Table3[[#This Row],[Sequence Status]]="Replied", Table3[[#This Row],[Sequence Step]],IF(TODAY()-K45&lt;=8,"Step 1",IF(TODAY()-K45&lt;=16,"Step 2",IF(TODAY()-K45&lt;=24,"Step 3",IF(TODAY()-K45&lt;=31,"Step 4",IF(TODAY()-K45&lt;=38,"Step 5",IF(TODAY()-K45&lt;=41,"Step 6","")))))))</f>
        <v/>
      </c>
      <c r="M45" s="2" t="s">
        <v>20</v>
      </c>
      <c r="N45" s="2" t="s">
        <v>16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7E24E-A3C4-4779-ACD4-2835D938E5B8}">
  <sheetPr codeName="Sheet5"/>
  <dimension ref="A1:N45"/>
  <sheetViews>
    <sheetView workbookViewId="0">
      <selection sqref="A1:N45"/>
    </sheetView>
  </sheetViews>
  <sheetFormatPr defaultRowHeight="14.4" x14ac:dyDescent="0.3"/>
  <sheetData>
    <row r="1" spans="1:14" x14ac:dyDescent="0.3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3" t="s">
        <v>12</v>
      </c>
      <c r="K1" s="6" t="s">
        <v>18</v>
      </c>
      <c r="L1" s="6" t="s">
        <v>13</v>
      </c>
      <c r="M1" s="6" t="s">
        <v>14</v>
      </c>
      <c r="N1" s="1" t="s">
        <v>15</v>
      </c>
    </row>
    <row r="2" spans="1:14" ht="28.8" x14ac:dyDescent="0.3">
      <c r="A2" s="2" t="s">
        <v>42</v>
      </c>
      <c r="B2" s="2" t="s">
        <v>86</v>
      </c>
      <c r="C2" s="2">
        <v>130</v>
      </c>
      <c r="D2" s="2" t="s">
        <v>17</v>
      </c>
      <c r="E2" s="2" t="s">
        <v>17</v>
      </c>
      <c r="F2" s="2" t="s">
        <v>130</v>
      </c>
      <c r="G2" s="2" t="s">
        <v>174</v>
      </c>
      <c r="H2" s="2" t="s">
        <v>28</v>
      </c>
      <c r="I2" s="2" t="s">
        <v>218</v>
      </c>
      <c r="J2" s="4">
        <v>1000001001</v>
      </c>
      <c r="K2" s="5">
        <v>45196</v>
      </c>
      <c r="L2" s="2" t="str">
        <f ca="1">IF(Table325[[#This Row],[Sequence Status]]="Replied", Table325[[#This Row],[Sequence Step]],IF(TODAY()-K2&lt;=8,"Step 1",IF(TODAY()-K2&lt;=16,"Step 2",IF(TODAY()-K2&lt;=24,"Step 3",IF(TODAY()-K2&lt;=31,"Step 4",IF(TODAY()-K2&lt;=38,"Step 5",IF(TODAY()-K2&lt;=41,"Step 6","")))))))</f>
        <v/>
      </c>
      <c r="M2" s="2" t="s">
        <v>20</v>
      </c>
      <c r="N2" s="2" t="s">
        <v>16</v>
      </c>
    </row>
    <row r="3" spans="1:14" ht="28.8" x14ac:dyDescent="0.3">
      <c r="A3" s="2" t="s">
        <v>43</v>
      </c>
      <c r="B3" s="2" t="s">
        <v>87</v>
      </c>
      <c r="C3" s="2">
        <v>21</v>
      </c>
      <c r="D3" s="2" t="s">
        <v>17</v>
      </c>
      <c r="E3" s="2" t="s">
        <v>17</v>
      </c>
      <c r="F3" s="2" t="s">
        <v>131</v>
      </c>
      <c r="G3" s="2" t="s">
        <v>175</v>
      </c>
      <c r="H3" s="2" t="s">
        <v>19</v>
      </c>
      <c r="I3" s="2" t="s">
        <v>219</v>
      </c>
      <c r="J3" s="4">
        <v>1000001001</v>
      </c>
      <c r="K3" s="5">
        <v>45196</v>
      </c>
      <c r="L3" s="2" t="str">
        <f ca="1">IF(Table325[[#This Row],[Sequence Status]]="Replied", Table325[[#This Row],[Sequence Step]],IF(TODAY()-K3&lt;=8,"Step 1",IF(TODAY()-K3&lt;=16,"Step 2",IF(TODAY()-K3&lt;=24,"Step 3",IF(TODAY()-K3&lt;=31,"Step 4",IF(TODAY()-K3&lt;=38,"Step 5",IF(TODAY()-K3&lt;=41,"Step 6","")))))))</f>
        <v/>
      </c>
      <c r="M3" s="2" t="s">
        <v>20</v>
      </c>
      <c r="N3" s="2" t="s">
        <v>16</v>
      </c>
    </row>
    <row r="4" spans="1:14" ht="43.2" x14ac:dyDescent="0.3">
      <c r="A4" s="2" t="s">
        <v>44</v>
      </c>
      <c r="B4" s="2" t="s">
        <v>88</v>
      </c>
      <c r="C4" s="2">
        <v>289000</v>
      </c>
      <c r="D4" s="2" t="s">
        <v>17</v>
      </c>
      <c r="E4" s="2" t="s">
        <v>17</v>
      </c>
      <c r="F4" s="2" t="s">
        <v>132</v>
      </c>
      <c r="G4" s="2" t="s">
        <v>176</v>
      </c>
      <c r="H4" s="2" t="s">
        <v>26</v>
      </c>
      <c r="I4" s="2" t="s">
        <v>220</v>
      </c>
      <c r="J4" s="4">
        <v>1000001001</v>
      </c>
      <c r="K4" s="5">
        <v>45196</v>
      </c>
      <c r="L4" s="2" t="str">
        <f ca="1">IF(Table325[[#This Row],[Sequence Status]]="Replied", Table325[[#This Row],[Sequence Step]],IF(TODAY()-K4&lt;=8,"Step 1",IF(TODAY()-K4&lt;=16,"Step 2",IF(TODAY()-K4&lt;=24,"Step 3",IF(TODAY()-K4&lt;=31,"Step 4",IF(TODAY()-K4&lt;=38,"Step 5",IF(TODAY()-K4&lt;=41,"Step 6","")))))))</f>
        <v/>
      </c>
      <c r="M4" s="2" t="s">
        <v>20</v>
      </c>
      <c r="N4" s="2" t="s">
        <v>16</v>
      </c>
    </row>
    <row r="5" spans="1:14" ht="28.8" x14ac:dyDescent="0.3">
      <c r="A5" s="2" t="s">
        <v>45</v>
      </c>
      <c r="B5" s="2" t="s">
        <v>89</v>
      </c>
      <c r="C5" s="2">
        <v>140</v>
      </c>
      <c r="D5" s="2" t="s">
        <v>17</v>
      </c>
      <c r="E5" s="2" t="s">
        <v>17</v>
      </c>
      <c r="F5" s="2" t="s">
        <v>133</v>
      </c>
      <c r="G5" s="2" t="s">
        <v>177</v>
      </c>
      <c r="H5" s="2" t="s">
        <v>28</v>
      </c>
      <c r="I5" s="2" t="s">
        <v>221</v>
      </c>
      <c r="J5" s="4">
        <v>1000001001</v>
      </c>
      <c r="K5" s="5">
        <v>45196</v>
      </c>
      <c r="L5" s="2" t="str">
        <f ca="1">IF(Table325[[#This Row],[Sequence Status]]="Replied", Table325[[#This Row],[Sequence Step]],IF(TODAY()-K5&lt;=8,"Step 1",IF(TODAY()-K5&lt;=16,"Step 2",IF(TODAY()-K5&lt;=24,"Step 3",IF(TODAY()-K5&lt;=31,"Step 4",IF(TODAY()-K5&lt;=38,"Step 5",IF(TODAY()-K5&lt;=41,"Step 6","")))))))</f>
        <v/>
      </c>
      <c r="M5" s="2" t="s">
        <v>20</v>
      </c>
      <c r="N5" s="2" t="s">
        <v>16</v>
      </c>
    </row>
    <row r="6" spans="1:14" ht="72" x14ac:dyDescent="0.3">
      <c r="A6" s="2" t="s">
        <v>46</v>
      </c>
      <c r="B6" s="2" t="s">
        <v>90</v>
      </c>
      <c r="C6" s="2">
        <v>300</v>
      </c>
      <c r="D6" s="2" t="s">
        <v>17</v>
      </c>
      <c r="E6" s="2" t="s">
        <v>17</v>
      </c>
      <c r="F6" s="2" t="s">
        <v>134</v>
      </c>
      <c r="G6" s="2" t="s">
        <v>178</v>
      </c>
      <c r="H6" s="2" t="s">
        <v>29</v>
      </c>
      <c r="I6" s="2" t="s">
        <v>222</v>
      </c>
      <c r="J6" s="4">
        <v>1000001001</v>
      </c>
      <c r="K6" s="5">
        <v>45196</v>
      </c>
      <c r="L6" s="2" t="str">
        <f ca="1">IF(Table325[[#This Row],[Sequence Status]]="Replied", Table325[[#This Row],[Sequence Step]],IF(TODAY()-K6&lt;=8,"Step 1",IF(TODAY()-K6&lt;=16,"Step 2",IF(TODAY()-K6&lt;=24,"Step 3",IF(TODAY()-K6&lt;=31,"Step 4",IF(TODAY()-K6&lt;=38,"Step 5",IF(TODAY()-K6&lt;=41,"Step 6","")))))))</f>
        <v/>
      </c>
      <c r="M6" s="2" t="s">
        <v>20</v>
      </c>
      <c r="N6" s="2" t="s">
        <v>16</v>
      </c>
    </row>
    <row r="7" spans="1:14" ht="28.8" x14ac:dyDescent="0.3">
      <c r="A7" s="2" t="s">
        <v>47</v>
      </c>
      <c r="B7" s="2" t="s">
        <v>91</v>
      </c>
      <c r="C7" s="2">
        <v>550</v>
      </c>
      <c r="D7" s="2" t="s">
        <v>17</v>
      </c>
      <c r="E7" s="2" t="s">
        <v>17</v>
      </c>
      <c r="F7" s="2" t="s">
        <v>135</v>
      </c>
      <c r="G7" s="2" t="s">
        <v>179</v>
      </c>
      <c r="H7" s="2" t="s">
        <v>30</v>
      </c>
      <c r="I7" s="2" t="s">
        <v>223</v>
      </c>
      <c r="J7" s="4">
        <v>1000001001</v>
      </c>
      <c r="K7" s="5">
        <v>45196</v>
      </c>
      <c r="L7" s="2" t="str">
        <f ca="1">IF(Table325[[#This Row],[Sequence Status]]="Replied", Table325[[#This Row],[Sequence Step]],IF(TODAY()-K7&lt;=8,"Step 1",IF(TODAY()-K7&lt;=16,"Step 2",IF(TODAY()-K7&lt;=24,"Step 3",IF(TODAY()-K7&lt;=31,"Step 4",IF(TODAY()-K7&lt;=38,"Step 5",IF(TODAY()-K7&lt;=41,"Step 6","")))))))</f>
        <v/>
      </c>
      <c r="M7" s="2" t="s">
        <v>20</v>
      </c>
      <c r="N7" s="2" t="s">
        <v>16</v>
      </c>
    </row>
    <row r="8" spans="1:14" ht="28.8" x14ac:dyDescent="0.3">
      <c r="A8" s="2" t="s">
        <v>48</v>
      </c>
      <c r="B8" s="2" t="s">
        <v>92</v>
      </c>
      <c r="C8" s="2">
        <v>130</v>
      </c>
      <c r="D8" s="2" t="s">
        <v>17</v>
      </c>
      <c r="E8" s="2" t="s">
        <v>17</v>
      </c>
      <c r="F8" s="2" t="s">
        <v>136</v>
      </c>
      <c r="G8" s="2" t="s">
        <v>180</v>
      </c>
      <c r="H8" s="2" t="s">
        <v>19</v>
      </c>
      <c r="I8" s="2" t="s">
        <v>224</v>
      </c>
      <c r="J8" s="4">
        <v>1000001001</v>
      </c>
      <c r="K8" s="5">
        <v>45196</v>
      </c>
      <c r="L8" s="2" t="str">
        <f ca="1">IF(Table325[[#This Row],[Sequence Status]]="Replied", Table325[[#This Row],[Sequence Step]],IF(TODAY()-K8&lt;=8,"Step 1",IF(TODAY()-K8&lt;=16,"Step 2",IF(TODAY()-K8&lt;=24,"Step 3",IF(TODAY()-K8&lt;=31,"Step 4",IF(TODAY()-K8&lt;=38,"Step 5",IF(TODAY()-K8&lt;=41,"Step 6","")))))))</f>
        <v/>
      </c>
      <c r="M8" s="2" t="s">
        <v>20</v>
      </c>
      <c r="N8" s="2" t="s">
        <v>16</v>
      </c>
    </row>
    <row r="9" spans="1:14" ht="28.8" x14ac:dyDescent="0.3">
      <c r="A9" s="2" t="s">
        <v>49</v>
      </c>
      <c r="B9" s="2" t="s">
        <v>93</v>
      </c>
      <c r="C9" s="2">
        <v>190</v>
      </c>
      <c r="D9" s="2" t="s">
        <v>17</v>
      </c>
      <c r="E9" s="2" t="s">
        <v>17</v>
      </c>
      <c r="F9" s="2" t="s">
        <v>137</v>
      </c>
      <c r="G9" s="2" t="s">
        <v>181</v>
      </c>
      <c r="H9" s="2" t="s">
        <v>28</v>
      </c>
      <c r="I9" s="2" t="s">
        <v>225</v>
      </c>
      <c r="J9" s="4">
        <v>1000001001</v>
      </c>
      <c r="K9" s="5">
        <v>45196</v>
      </c>
      <c r="L9" s="2" t="str">
        <f ca="1">IF(Table325[[#This Row],[Sequence Status]]="Replied", Table325[[#This Row],[Sequence Step]],IF(TODAY()-K9&lt;=8,"Step 1",IF(TODAY()-K9&lt;=16,"Step 2",IF(TODAY()-K9&lt;=24,"Step 3",IF(TODAY()-K9&lt;=31,"Step 4",IF(TODAY()-K9&lt;=38,"Step 5",IF(TODAY()-K9&lt;=41,"Step 6","")))))))</f>
        <v/>
      </c>
      <c r="M9" s="2" t="s">
        <v>20</v>
      </c>
      <c r="N9" s="2" t="s">
        <v>16</v>
      </c>
    </row>
    <row r="10" spans="1:14" ht="28.8" x14ac:dyDescent="0.3">
      <c r="A10" s="2" t="s">
        <v>50</v>
      </c>
      <c r="B10" s="2" t="s">
        <v>94</v>
      </c>
      <c r="C10" s="2">
        <v>1100</v>
      </c>
      <c r="D10" s="2" t="s">
        <v>17</v>
      </c>
      <c r="E10" s="2" t="s">
        <v>17</v>
      </c>
      <c r="F10" s="2" t="s">
        <v>138</v>
      </c>
      <c r="G10" s="2" t="s">
        <v>182</v>
      </c>
      <c r="H10" s="2" t="s">
        <v>22</v>
      </c>
      <c r="I10" s="2" t="s">
        <v>226</v>
      </c>
      <c r="J10" s="4">
        <v>1000001001</v>
      </c>
      <c r="K10" s="5">
        <v>45196</v>
      </c>
      <c r="L10" s="2" t="str">
        <f ca="1">IF(Table325[[#This Row],[Sequence Status]]="Replied", Table325[[#This Row],[Sequence Step]],IF(TODAY()-K10&lt;=8,"Step 1",IF(TODAY()-K10&lt;=16,"Step 2",IF(TODAY()-K10&lt;=24,"Step 3",IF(TODAY()-K10&lt;=31,"Step 4",IF(TODAY()-K10&lt;=38,"Step 5",IF(TODAY()-K10&lt;=41,"Step 6","")))))))</f>
        <v/>
      </c>
      <c r="M10" s="2" t="s">
        <v>20</v>
      </c>
      <c r="N10" s="2" t="s">
        <v>16</v>
      </c>
    </row>
    <row r="11" spans="1:14" ht="28.8" x14ac:dyDescent="0.3">
      <c r="A11" s="2" t="s">
        <v>51</v>
      </c>
      <c r="B11" s="2" t="s">
        <v>95</v>
      </c>
      <c r="C11" s="2">
        <v>25000</v>
      </c>
      <c r="D11" s="2" t="s">
        <v>17</v>
      </c>
      <c r="E11" s="2" t="s">
        <v>17</v>
      </c>
      <c r="F11" s="2" t="s">
        <v>139</v>
      </c>
      <c r="G11" s="2" t="s">
        <v>183</v>
      </c>
      <c r="H11" s="2" t="s">
        <v>24</v>
      </c>
      <c r="I11" s="2" t="s">
        <v>227</v>
      </c>
      <c r="J11" s="4">
        <v>1000001001</v>
      </c>
      <c r="K11" s="5">
        <v>45196</v>
      </c>
      <c r="L11" s="2" t="str">
        <f ca="1">IF(Table325[[#This Row],[Sequence Status]]="Replied", Table325[[#This Row],[Sequence Step]],IF(TODAY()-K11&lt;=8,"Step 1",IF(TODAY()-K11&lt;=16,"Step 2",IF(TODAY()-K11&lt;=24,"Step 3",IF(TODAY()-K11&lt;=31,"Step 4",IF(TODAY()-K11&lt;=38,"Step 5",IF(TODAY()-K11&lt;=41,"Step 6","")))))))</f>
        <v/>
      </c>
      <c r="M11" s="2" t="s">
        <v>20</v>
      </c>
      <c r="N11" s="2" t="s">
        <v>16</v>
      </c>
    </row>
    <row r="12" spans="1:14" ht="28.8" x14ac:dyDescent="0.3">
      <c r="A12" s="2" t="s">
        <v>52</v>
      </c>
      <c r="B12" s="2" t="s">
        <v>96</v>
      </c>
      <c r="C12" s="2">
        <v>250</v>
      </c>
      <c r="D12" s="2" t="s">
        <v>17</v>
      </c>
      <c r="E12" s="2" t="s">
        <v>17</v>
      </c>
      <c r="F12" s="2" t="s">
        <v>140</v>
      </c>
      <c r="G12" s="2" t="s">
        <v>184</v>
      </c>
      <c r="H12" s="2" t="s">
        <v>21</v>
      </c>
      <c r="I12" s="2" t="s">
        <v>228</v>
      </c>
      <c r="J12" s="4">
        <v>1000001001</v>
      </c>
      <c r="K12" s="5">
        <v>45196</v>
      </c>
      <c r="L12" s="2" t="str">
        <f ca="1">IF(Table325[[#This Row],[Sequence Status]]="Replied", Table325[[#This Row],[Sequence Step]],IF(TODAY()-K12&lt;=8,"Step 1",IF(TODAY()-K12&lt;=16,"Step 2",IF(TODAY()-K12&lt;=24,"Step 3",IF(TODAY()-K12&lt;=31,"Step 4",IF(TODAY()-K12&lt;=38,"Step 5",IF(TODAY()-K12&lt;=41,"Step 6","")))))))</f>
        <v/>
      </c>
      <c r="M12" s="2" t="s">
        <v>20</v>
      </c>
      <c r="N12" s="2" t="s">
        <v>16</v>
      </c>
    </row>
    <row r="13" spans="1:14" ht="28.8" x14ac:dyDescent="0.3">
      <c r="A13" s="2" t="s">
        <v>53</v>
      </c>
      <c r="B13" s="2" t="s">
        <v>97</v>
      </c>
      <c r="C13" s="2">
        <v>300</v>
      </c>
      <c r="D13" s="2" t="s">
        <v>17</v>
      </c>
      <c r="E13" s="2" t="s">
        <v>17</v>
      </c>
      <c r="F13" s="2" t="s">
        <v>141</v>
      </c>
      <c r="G13" s="2" t="s">
        <v>185</v>
      </c>
      <c r="H13" s="2" t="s">
        <v>21</v>
      </c>
      <c r="I13" s="2" t="s">
        <v>229</v>
      </c>
      <c r="J13" s="4">
        <v>1000001001</v>
      </c>
      <c r="K13" s="5">
        <v>45196</v>
      </c>
      <c r="L13" s="2" t="str">
        <f ca="1">IF(Table325[[#This Row],[Sequence Status]]="Replied", Table325[[#This Row],[Sequence Step]],IF(TODAY()-K13&lt;=8,"Step 1",IF(TODAY()-K13&lt;=16,"Step 2",IF(TODAY()-K13&lt;=24,"Step 3",IF(TODAY()-K13&lt;=31,"Step 4",IF(TODAY()-K13&lt;=38,"Step 5",IF(TODAY()-K13&lt;=41,"Step 6","")))))))</f>
        <v/>
      </c>
      <c r="M13" s="2" t="s">
        <v>20</v>
      </c>
      <c r="N13" s="2" t="s">
        <v>16</v>
      </c>
    </row>
    <row r="14" spans="1:14" ht="28.8" x14ac:dyDescent="0.3">
      <c r="A14" s="2" t="s">
        <v>54</v>
      </c>
      <c r="B14" s="2" t="s">
        <v>98</v>
      </c>
      <c r="C14" s="2">
        <v>62000</v>
      </c>
      <c r="D14" s="2" t="s">
        <v>17</v>
      </c>
      <c r="E14" s="2" t="s">
        <v>17</v>
      </c>
      <c r="F14" s="2" t="s">
        <v>142</v>
      </c>
      <c r="G14" s="2" t="s">
        <v>186</v>
      </c>
      <c r="H14" s="2" t="s">
        <v>31</v>
      </c>
      <c r="I14" s="2" t="s">
        <v>230</v>
      </c>
      <c r="J14" s="4">
        <v>1000001001</v>
      </c>
      <c r="K14" s="5">
        <v>45196</v>
      </c>
      <c r="L14" s="2" t="str">
        <f ca="1">IF(Table325[[#This Row],[Sequence Status]]="Replied", Table325[[#This Row],[Sequence Step]],IF(TODAY()-K14&lt;=8,"Step 1",IF(TODAY()-K14&lt;=16,"Step 2",IF(TODAY()-K14&lt;=24,"Step 3",IF(TODAY()-K14&lt;=31,"Step 4",IF(TODAY()-K14&lt;=38,"Step 5",IF(TODAY()-K14&lt;=41,"Step 6","")))))))</f>
        <v/>
      </c>
      <c r="M14" s="2" t="s">
        <v>20</v>
      </c>
      <c r="N14" s="2" t="s">
        <v>16</v>
      </c>
    </row>
    <row r="15" spans="1:14" ht="28.8" x14ac:dyDescent="0.3">
      <c r="A15" s="2" t="s">
        <v>55</v>
      </c>
      <c r="B15" s="2" t="s">
        <v>99</v>
      </c>
      <c r="C15" s="2">
        <v>1400</v>
      </c>
      <c r="D15" s="2" t="s">
        <v>17</v>
      </c>
      <c r="E15" s="2" t="s">
        <v>17</v>
      </c>
      <c r="F15" s="2" t="s">
        <v>143</v>
      </c>
      <c r="G15" s="2" t="s">
        <v>187</v>
      </c>
      <c r="H15" s="2" t="s">
        <v>24</v>
      </c>
      <c r="I15" s="2" t="s">
        <v>231</v>
      </c>
      <c r="J15" s="4">
        <v>1000001001</v>
      </c>
      <c r="K15" s="5">
        <v>45196</v>
      </c>
      <c r="L15" s="2" t="str">
        <f ca="1">IF(Table325[[#This Row],[Sequence Status]]="Replied", Table325[[#This Row],[Sequence Step]],IF(TODAY()-K15&lt;=8,"Step 1",IF(TODAY()-K15&lt;=16,"Step 2",IF(TODAY()-K15&lt;=24,"Step 3",IF(TODAY()-K15&lt;=31,"Step 4",IF(TODAY()-K15&lt;=38,"Step 5",IF(TODAY()-K15&lt;=41,"Step 6","")))))))</f>
        <v/>
      </c>
      <c r="M15" s="2" t="s">
        <v>20</v>
      </c>
      <c r="N15" s="2" t="s">
        <v>16</v>
      </c>
    </row>
    <row r="16" spans="1:14" ht="28.8" x14ac:dyDescent="0.3">
      <c r="A16" s="2" t="s">
        <v>56</v>
      </c>
      <c r="B16" s="2" t="s">
        <v>100</v>
      </c>
      <c r="C16" s="2">
        <v>280</v>
      </c>
      <c r="D16" s="2" t="s">
        <v>17</v>
      </c>
      <c r="E16" s="2" t="s">
        <v>17</v>
      </c>
      <c r="F16" s="2" t="s">
        <v>144</v>
      </c>
      <c r="G16" s="2" t="s">
        <v>188</v>
      </c>
      <c r="H16" s="2" t="s">
        <v>22</v>
      </c>
      <c r="I16" s="2" t="s">
        <v>232</v>
      </c>
      <c r="J16" s="4">
        <v>1000001001</v>
      </c>
      <c r="K16" s="5">
        <v>45196</v>
      </c>
      <c r="L16" s="2" t="str">
        <f ca="1">IF(Table325[[#This Row],[Sequence Status]]="Replied", Table325[[#This Row],[Sequence Step]],IF(TODAY()-K16&lt;=8,"Step 1",IF(TODAY()-K16&lt;=16,"Step 2",IF(TODAY()-K16&lt;=24,"Step 3",IF(TODAY()-K16&lt;=31,"Step 4",IF(TODAY()-K16&lt;=38,"Step 5",IF(TODAY()-K16&lt;=41,"Step 6","")))))))</f>
        <v/>
      </c>
      <c r="M16" s="2" t="s">
        <v>20</v>
      </c>
      <c r="N16" s="2" t="s">
        <v>16</v>
      </c>
    </row>
    <row r="17" spans="1:14" ht="28.8" x14ac:dyDescent="0.3">
      <c r="A17" s="2" t="s">
        <v>57</v>
      </c>
      <c r="B17" s="2" t="s">
        <v>101</v>
      </c>
      <c r="C17" s="2">
        <v>130</v>
      </c>
      <c r="D17" s="2" t="s">
        <v>17</v>
      </c>
      <c r="E17" s="2" t="s">
        <v>17</v>
      </c>
      <c r="F17" s="2" t="s">
        <v>145</v>
      </c>
      <c r="G17" s="2" t="s">
        <v>189</v>
      </c>
      <c r="H17" s="2" t="s">
        <v>25</v>
      </c>
      <c r="I17" s="2" t="s">
        <v>233</v>
      </c>
      <c r="J17" s="4">
        <v>1000001001</v>
      </c>
      <c r="K17" s="5">
        <v>45196</v>
      </c>
      <c r="L17" s="2" t="str">
        <f ca="1">IF(Table325[[#This Row],[Sequence Status]]="Replied", Table325[[#This Row],[Sequence Step]],IF(TODAY()-K17&lt;=8,"Step 1",IF(TODAY()-K17&lt;=16,"Step 2",IF(TODAY()-K17&lt;=24,"Step 3",IF(TODAY()-K17&lt;=31,"Step 4",IF(TODAY()-K17&lt;=38,"Step 5",IF(TODAY()-K17&lt;=41,"Step 6","")))))))</f>
        <v/>
      </c>
      <c r="M17" s="2" t="s">
        <v>20</v>
      </c>
      <c r="N17" s="2" t="s">
        <v>16</v>
      </c>
    </row>
    <row r="18" spans="1:14" ht="72" x14ac:dyDescent="0.3">
      <c r="A18" s="2" t="s">
        <v>58</v>
      </c>
      <c r="B18" s="2" t="s">
        <v>102</v>
      </c>
      <c r="C18" s="2">
        <v>1400</v>
      </c>
      <c r="D18" s="2" t="s">
        <v>17</v>
      </c>
      <c r="E18" s="2" t="s">
        <v>17</v>
      </c>
      <c r="F18" s="2" t="s">
        <v>146</v>
      </c>
      <c r="G18" s="2" t="s">
        <v>190</v>
      </c>
      <c r="H18" s="2" t="s">
        <v>32</v>
      </c>
      <c r="I18" s="2" t="s">
        <v>234</v>
      </c>
      <c r="J18" s="4">
        <v>1000001001</v>
      </c>
      <c r="K18" s="5">
        <v>45196</v>
      </c>
      <c r="L18" s="2" t="str">
        <f ca="1">IF(Table325[[#This Row],[Sequence Status]]="Replied", Table325[[#This Row],[Sequence Step]],IF(TODAY()-K18&lt;=8,"Step 1",IF(TODAY()-K18&lt;=16,"Step 2",IF(TODAY()-K18&lt;=24,"Step 3",IF(TODAY()-K18&lt;=31,"Step 4",IF(TODAY()-K18&lt;=38,"Step 5",IF(TODAY()-K18&lt;=41,"Step 6","")))))))</f>
        <v/>
      </c>
      <c r="M18" s="2" t="s">
        <v>20</v>
      </c>
      <c r="N18" s="2" t="s">
        <v>16</v>
      </c>
    </row>
    <row r="19" spans="1:14" ht="28.8" x14ac:dyDescent="0.3">
      <c r="A19" s="2" t="s">
        <v>59</v>
      </c>
      <c r="B19" s="2" t="s">
        <v>103</v>
      </c>
      <c r="C19" s="2">
        <v>311000</v>
      </c>
      <c r="D19" s="2" t="s">
        <v>17</v>
      </c>
      <c r="E19" s="2" t="s">
        <v>17</v>
      </c>
      <c r="F19" s="2" t="s">
        <v>147</v>
      </c>
      <c r="G19" s="2" t="s">
        <v>191</v>
      </c>
      <c r="H19" s="2" t="s">
        <v>33</v>
      </c>
      <c r="I19" s="2" t="s">
        <v>235</v>
      </c>
      <c r="J19" s="4">
        <v>1000001001</v>
      </c>
      <c r="K19" s="5">
        <v>45196</v>
      </c>
      <c r="L19" s="2" t="str">
        <f ca="1">IF(Table325[[#This Row],[Sequence Status]]="Replied", Table325[[#This Row],[Sequence Step]],IF(TODAY()-K19&lt;=8,"Step 1",IF(TODAY()-K19&lt;=16,"Step 2",IF(TODAY()-K19&lt;=24,"Step 3",IF(TODAY()-K19&lt;=31,"Step 4",IF(TODAY()-K19&lt;=38,"Step 5",IF(TODAY()-K19&lt;=41,"Step 6","")))))))</f>
        <v/>
      </c>
      <c r="M19" s="2" t="s">
        <v>20</v>
      </c>
      <c r="N19" s="2" t="s">
        <v>16</v>
      </c>
    </row>
    <row r="20" spans="1:14" ht="28.8" x14ac:dyDescent="0.3">
      <c r="A20" s="2" t="s">
        <v>60</v>
      </c>
      <c r="B20" s="2" t="s">
        <v>104</v>
      </c>
      <c r="C20" s="2">
        <v>180</v>
      </c>
      <c r="D20" s="2" t="s">
        <v>17</v>
      </c>
      <c r="E20" s="2" t="s">
        <v>17</v>
      </c>
      <c r="F20" s="2" t="s">
        <v>148</v>
      </c>
      <c r="G20" s="2" t="s">
        <v>192</v>
      </c>
      <c r="H20" s="2" t="s">
        <v>21</v>
      </c>
      <c r="I20" s="2" t="s">
        <v>236</v>
      </c>
      <c r="J20" s="4">
        <v>1000001001</v>
      </c>
      <c r="K20" s="5">
        <v>45196</v>
      </c>
      <c r="L20" s="2" t="str">
        <f ca="1">IF(Table325[[#This Row],[Sequence Status]]="Replied", Table325[[#This Row],[Sequence Step]],IF(TODAY()-K20&lt;=8,"Step 1",IF(TODAY()-K20&lt;=16,"Step 2",IF(TODAY()-K20&lt;=24,"Step 3",IF(TODAY()-K20&lt;=31,"Step 4",IF(TODAY()-K20&lt;=38,"Step 5",IF(TODAY()-K20&lt;=41,"Step 6","")))))))</f>
        <v/>
      </c>
      <c r="M20" s="2" t="s">
        <v>20</v>
      </c>
      <c r="N20" s="2" t="s">
        <v>16</v>
      </c>
    </row>
    <row r="21" spans="1:14" ht="43.2" x14ac:dyDescent="0.3">
      <c r="A21" s="2" t="s">
        <v>61</v>
      </c>
      <c r="B21" s="2" t="s">
        <v>105</v>
      </c>
      <c r="C21" s="2">
        <v>1300</v>
      </c>
      <c r="D21" s="2" t="s">
        <v>17</v>
      </c>
      <c r="E21" s="2" t="s">
        <v>17</v>
      </c>
      <c r="F21" s="2" t="s">
        <v>149</v>
      </c>
      <c r="G21" s="2" t="s">
        <v>193</v>
      </c>
      <c r="H21" s="2" t="s">
        <v>34</v>
      </c>
      <c r="I21" s="2" t="s">
        <v>237</v>
      </c>
      <c r="J21" s="4">
        <v>1000001001</v>
      </c>
      <c r="K21" s="5">
        <v>45196</v>
      </c>
      <c r="L21" s="2" t="str">
        <f ca="1">IF(Table325[[#This Row],[Sequence Status]]="Replied", Table325[[#This Row],[Sequence Step]],IF(TODAY()-K21&lt;=8,"Step 1",IF(TODAY()-K21&lt;=16,"Step 2",IF(TODAY()-K21&lt;=24,"Step 3",IF(TODAY()-K21&lt;=31,"Step 4",IF(TODAY()-K21&lt;=38,"Step 5",IF(TODAY()-K21&lt;=41,"Step 6","")))))))</f>
        <v/>
      </c>
      <c r="M21" s="2" t="s">
        <v>20</v>
      </c>
      <c r="N21" s="2" t="s">
        <v>16</v>
      </c>
    </row>
    <row r="22" spans="1:14" ht="28.8" x14ac:dyDescent="0.3">
      <c r="A22" s="2" t="s">
        <v>62</v>
      </c>
      <c r="B22" s="2" t="s">
        <v>106</v>
      </c>
      <c r="C22" s="2">
        <v>170</v>
      </c>
      <c r="D22" s="2" t="s">
        <v>17</v>
      </c>
      <c r="E22" s="2" t="s">
        <v>17</v>
      </c>
      <c r="F22" s="2" t="s">
        <v>150</v>
      </c>
      <c r="G22" s="2" t="s">
        <v>194</v>
      </c>
      <c r="H22" s="2" t="s">
        <v>23</v>
      </c>
      <c r="I22" s="2" t="s">
        <v>238</v>
      </c>
      <c r="J22" s="4">
        <v>1000001001</v>
      </c>
      <c r="K22" s="5">
        <v>45196</v>
      </c>
      <c r="L22" s="2" t="str">
        <f ca="1">IF(Table325[[#This Row],[Sequence Status]]="Replied", Table325[[#This Row],[Sequence Step]],IF(TODAY()-K22&lt;=8,"Step 1",IF(TODAY()-K22&lt;=16,"Step 2",IF(TODAY()-K22&lt;=24,"Step 3",IF(TODAY()-K22&lt;=31,"Step 4",IF(TODAY()-K22&lt;=38,"Step 5",IF(TODAY()-K22&lt;=41,"Step 6","")))))))</f>
        <v/>
      </c>
      <c r="M22" s="2" t="s">
        <v>20</v>
      </c>
      <c r="N22" s="2" t="s">
        <v>16</v>
      </c>
    </row>
    <row r="23" spans="1:14" ht="28.8" x14ac:dyDescent="0.3">
      <c r="A23" s="2" t="s">
        <v>63</v>
      </c>
      <c r="B23" s="2" t="s">
        <v>107</v>
      </c>
      <c r="C23" s="2">
        <v>370</v>
      </c>
      <c r="D23" s="2" t="s">
        <v>17</v>
      </c>
      <c r="E23" s="2" t="s">
        <v>17</v>
      </c>
      <c r="F23" s="2" t="s">
        <v>151</v>
      </c>
      <c r="G23" s="2" t="s">
        <v>195</v>
      </c>
      <c r="H23" s="2" t="s">
        <v>22</v>
      </c>
      <c r="I23" s="2" t="s">
        <v>239</v>
      </c>
      <c r="J23" s="4">
        <v>1000001001</v>
      </c>
      <c r="K23" s="5">
        <v>45196</v>
      </c>
      <c r="L23" s="2" t="str">
        <f ca="1">IF(Table325[[#This Row],[Sequence Status]]="Replied", Table325[[#This Row],[Sequence Step]],IF(TODAY()-K23&lt;=8,"Step 1",IF(TODAY()-K23&lt;=16,"Step 2",IF(TODAY()-K23&lt;=24,"Step 3",IF(TODAY()-K23&lt;=31,"Step 4",IF(TODAY()-K23&lt;=38,"Step 5",IF(TODAY()-K23&lt;=41,"Step 6","")))))))</f>
        <v/>
      </c>
      <c r="M23" s="2" t="s">
        <v>20</v>
      </c>
      <c r="N23" s="2" t="s">
        <v>16</v>
      </c>
    </row>
    <row r="24" spans="1:14" ht="57.6" x14ac:dyDescent="0.3">
      <c r="A24" s="2" t="s">
        <v>64</v>
      </c>
      <c r="B24" s="2" t="s">
        <v>108</v>
      </c>
      <c r="C24" s="2">
        <v>200</v>
      </c>
      <c r="D24" s="2" t="s">
        <v>17</v>
      </c>
      <c r="E24" s="2" t="s">
        <v>17</v>
      </c>
      <c r="F24" s="2" t="s">
        <v>152</v>
      </c>
      <c r="G24" s="2" t="s">
        <v>196</v>
      </c>
      <c r="H24" s="2" t="s">
        <v>35</v>
      </c>
      <c r="I24" s="2" t="s">
        <v>240</v>
      </c>
      <c r="J24" s="4">
        <v>1000001001</v>
      </c>
      <c r="K24" s="5">
        <v>45196</v>
      </c>
      <c r="L24" s="2" t="str">
        <f ca="1">IF(Table325[[#This Row],[Sequence Status]]="Replied", Table325[[#This Row],[Sequence Step]],IF(TODAY()-K24&lt;=8,"Step 1",IF(TODAY()-K24&lt;=16,"Step 2",IF(TODAY()-K24&lt;=24,"Step 3",IF(TODAY()-K24&lt;=31,"Step 4",IF(TODAY()-K24&lt;=38,"Step 5",IF(TODAY()-K24&lt;=41,"Step 6","")))))))</f>
        <v/>
      </c>
      <c r="M24" s="2" t="s">
        <v>20</v>
      </c>
      <c r="N24" s="2" t="s">
        <v>16</v>
      </c>
    </row>
    <row r="25" spans="1:14" ht="57.6" x14ac:dyDescent="0.3">
      <c r="A25" s="2" t="s">
        <v>65</v>
      </c>
      <c r="B25" s="2" t="s">
        <v>109</v>
      </c>
      <c r="C25" s="2">
        <v>5300</v>
      </c>
      <c r="D25" s="2" t="s">
        <v>17</v>
      </c>
      <c r="E25" s="2" t="s">
        <v>17</v>
      </c>
      <c r="F25" s="2" t="s">
        <v>153</v>
      </c>
      <c r="G25" s="2" t="s">
        <v>197</v>
      </c>
      <c r="H25" s="2" t="s">
        <v>36</v>
      </c>
      <c r="I25" s="2" t="s">
        <v>241</v>
      </c>
      <c r="J25" s="4">
        <v>1000001001</v>
      </c>
      <c r="K25" s="5">
        <v>45196</v>
      </c>
      <c r="L25" s="2" t="str">
        <f ca="1">IF(Table325[[#This Row],[Sequence Status]]="Replied", Table325[[#This Row],[Sequence Step]],IF(TODAY()-K25&lt;=8,"Step 1",IF(TODAY()-K25&lt;=16,"Step 2",IF(TODAY()-K25&lt;=24,"Step 3",IF(TODAY()-K25&lt;=31,"Step 4",IF(TODAY()-K25&lt;=38,"Step 5",IF(TODAY()-K25&lt;=41,"Step 6","")))))))</f>
        <v/>
      </c>
      <c r="M25" s="2" t="s">
        <v>20</v>
      </c>
      <c r="N25" s="2" t="s">
        <v>16</v>
      </c>
    </row>
    <row r="26" spans="1:14" ht="28.8" x14ac:dyDescent="0.3">
      <c r="A26" s="2" t="s">
        <v>66</v>
      </c>
      <c r="B26" s="2" t="s">
        <v>110</v>
      </c>
      <c r="C26" s="2">
        <v>4600</v>
      </c>
      <c r="D26" s="2" t="s">
        <v>17</v>
      </c>
      <c r="E26" s="2" t="s">
        <v>17</v>
      </c>
      <c r="F26" s="2" t="s">
        <v>154</v>
      </c>
      <c r="G26" s="2" t="s">
        <v>198</v>
      </c>
      <c r="H26" s="2" t="s">
        <v>24</v>
      </c>
      <c r="I26" s="2" t="s">
        <v>242</v>
      </c>
      <c r="J26" s="4">
        <v>1000001001</v>
      </c>
      <c r="K26" s="5">
        <v>45196</v>
      </c>
      <c r="L26" s="2" t="str">
        <f ca="1">IF(Table325[[#This Row],[Sequence Status]]="Replied", Table325[[#This Row],[Sequence Step]],IF(TODAY()-K26&lt;=8,"Step 1",IF(TODAY()-K26&lt;=16,"Step 2",IF(TODAY()-K26&lt;=24,"Step 3",IF(TODAY()-K26&lt;=31,"Step 4",IF(TODAY()-K26&lt;=38,"Step 5",IF(TODAY()-K26&lt;=41,"Step 6","")))))))</f>
        <v/>
      </c>
      <c r="M26" s="2" t="s">
        <v>20</v>
      </c>
      <c r="N26" s="2" t="s">
        <v>16</v>
      </c>
    </row>
    <row r="27" spans="1:14" ht="43.2" x14ac:dyDescent="0.3">
      <c r="A27" s="2" t="s">
        <v>67</v>
      </c>
      <c r="B27" s="2" t="s">
        <v>111</v>
      </c>
      <c r="C27" s="2">
        <v>350</v>
      </c>
      <c r="D27" s="2" t="s">
        <v>17</v>
      </c>
      <c r="E27" s="2" t="s">
        <v>17</v>
      </c>
      <c r="F27" s="2" t="s">
        <v>155</v>
      </c>
      <c r="G27" s="2" t="s">
        <v>199</v>
      </c>
      <c r="H27" s="2" t="s">
        <v>37</v>
      </c>
      <c r="I27" s="2" t="s">
        <v>243</v>
      </c>
      <c r="J27" s="4">
        <v>1000001001</v>
      </c>
      <c r="K27" s="5">
        <v>45196</v>
      </c>
      <c r="L27" s="2" t="str">
        <f ca="1">IF(Table325[[#This Row],[Sequence Status]]="Replied", Table325[[#This Row],[Sequence Step]],IF(TODAY()-K27&lt;=8,"Step 1",IF(TODAY()-K27&lt;=16,"Step 2",IF(TODAY()-K27&lt;=24,"Step 3",IF(TODAY()-K27&lt;=31,"Step 4",IF(TODAY()-K27&lt;=38,"Step 5",IF(TODAY()-K27&lt;=41,"Step 6","")))))))</f>
        <v/>
      </c>
      <c r="M27" s="2" t="s">
        <v>20</v>
      </c>
      <c r="N27" s="2" t="s">
        <v>16</v>
      </c>
    </row>
    <row r="28" spans="1:14" ht="28.8" x14ac:dyDescent="0.3">
      <c r="A28" s="2" t="s">
        <v>68</v>
      </c>
      <c r="B28" s="2" t="s">
        <v>112</v>
      </c>
      <c r="C28" s="2">
        <v>300</v>
      </c>
      <c r="D28" s="2" t="s">
        <v>17</v>
      </c>
      <c r="E28" s="2" t="s">
        <v>17</v>
      </c>
      <c r="F28" s="2" t="s">
        <v>156</v>
      </c>
      <c r="G28" s="2" t="s">
        <v>200</v>
      </c>
      <c r="H28" s="2" t="s">
        <v>38</v>
      </c>
      <c r="I28" s="2" t="s">
        <v>244</v>
      </c>
      <c r="J28" s="4">
        <v>1000001001</v>
      </c>
      <c r="K28" s="5">
        <v>45196</v>
      </c>
      <c r="L28" s="2" t="str">
        <f ca="1">IF(Table325[[#This Row],[Sequence Status]]="Replied", Table325[[#This Row],[Sequence Step]],IF(TODAY()-K28&lt;=8,"Step 1",IF(TODAY()-K28&lt;=16,"Step 2",IF(TODAY()-K28&lt;=24,"Step 3",IF(TODAY()-K28&lt;=31,"Step 4",IF(TODAY()-K28&lt;=38,"Step 5",IF(TODAY()-K28&lt;=41,"Step 6","")))))))</f>
        <v/>
      </c>
      <c r="M28" s="2" t="s">
        <v>20</v>
      </c>
      <c r="N28" s="2" t="s">
        <v>16</v>
      </c>
    </row>
    <row r="29" spans="1:14" ht="28.8" x14ac:dyDescent="0.3">
      <c r="A29" s="2" t="s">
        <v>69</v>
      </c>
      <c r="B29" s="2" t="s">
        <v>113</v>
      </c>
      <c r="C29" s="2">
        <v>240</v>
      </c>
      <c r="D29" s="2" t="s">
        <v>17</v>
      </c>
      <c r="E29" s="2" t="s">
        <v>17</v>
      </c>
      <c r="F29" s="2" t="s">
        <v>157</v>
      </c>
      <c r="G29" s="2" t="s">
        <v>201</v>
      </c>
      <c r="H29" s="2" t="s">
        <v>38</v>
      </c>
      <c r="I29" s="2" t="s">
        <v>245</v>
      </c>
      <c r="J29" s="4">
        <v>1000001001</v>
      </c>
      <c r="K29" s="5">
        <v>45196</v>
      </c>
      <c r="L29" s="2" t="str">
        <f ca="1">IF(Table325[[#This Row],[Sequence Status]]="Replied", Table325[[#This Row],[Sequence Step]],IF(TODAY()-K29&lt;=8,"Step 1",IF(TODAY()-K29&lt;=16,"Step 2",IF(TODAY()-K29&lt;=24,"Step 3",IF(TODAY()-K29&lt;=31,"Step 4",IF(TODAY()-K29&lt;=38,"Step 5",IF(TODAY()-K29&lt;=41,"Step 6","")))))))</f>
        <v/>
      </c>
      <c r="M29" s="2" t="s">
        <v>20</v>
      </c>
      <c r="N29" s="2" t="s">
        <v>16</v>
      </c>
    </row>
    <row r="30" spans="1:14" ht="28.8" x14ac:dyDescent="0.3">
      <c r="A30" s="2" t="s">
        <v>70</v>
      </c>
      <c r="B30" s="2" t="s">
        <v>114</v>
      </c>
      <c r="C30" s="2">
        <v>2200</v>
      </c>
      <c r="D30" s="2" t="s">
        <v>17</v>
      </c>
      <c r="E30" s="2" t="s">
        <v>17</v>
      </c>
      <c r="F30" s="2" t="s">
        <v>158</v>
      </c>
      <c r="G30" s="2" t="s">
        <v>202</v>
      </c>
      <c r="H30" s="2" t="s">
        <v>22</v>
      </c>
      <c r="I30" s="2" t="s">
        <v>246</v>
      </c>
      <c r="J30" s="4">
        <v>1000001001</v>
      </c>
      <c r="K30" s="5">
        <v>45196</v>
      </c>
      <c r="L30" s="2" t="str">
        <f ca="1">IF(Table325[[#This Row],[Sequence Status]]="Replied", Table325[[#This Row],[Sequence Step]],IF(TODAY()-K30&lt;=8,"Step 1",IF(TODAY()-K30&lt;=16,"Step 2",IF(TODAY()-K30&lt;=24,"Step 3",IF(TODAY()-K30&lt;=31,"Step 4",IF(TODAY()-K30&lt;=38,"Step 5",IF(TODAY()-K30&lt;=41,"Step 6","")))))))</f>
        <v/>
      </c>
      <c r="M30" s="2" t="s">
        <v>20</v>
      </c>
      <c r="N30" s="2" t="s">
        <v>16</v>
      </c>
    </row>
    <row r="31" spans="1:14" ht="28.8" x14ac:dyDescent="0.3">
      <c r="A31" s="2" t="s">
        <v>71</v>
      </c>
      <c r="B31" s="2" t="s">
        <v>115</v>
      </c>
      <c r="C31" s="2">
        <v>220</v>
      </c>
      <c r="D31" s="2" t="s">
        <v>17</v>
      </c>
      <c r="E31" s="2" t="s">
        <v>17</v>
      </c>
      <c r="F31" s="2" t="s">
        <v>159</v>
      </c>
      <c r="G31" s="2" t="s">
        <v>203</v>
      </c>
      <c r="H31" s="2" t="s">
        <v>22</v>
      </c>
      <c r="I31" s="2" t="s">
        <v>247</v>
      </c>
      <c r="J31" s="4">
        <v>1000001001</v>
      </c>
      <c r="K31" s="5">
        <v>45196</v>
      </c>
      <c r="L31" s="2" t="str">
        <f ca="1">IF(Table325[[#This Row],[Sequence Status]]="Replied", Table325[[#This Row],[Sequence Step]],IF(TODAY()-K31&lt;=8,"Step 1",IF(TODAY()-K31&lt;=16,"Step 2",IF(TODAY()-K31&lt;=24,"Step 3",IF(TODAY()-K31&lt;=31,"Step 4",IF(TODAY()-K31&lt;=38,"Step 5",IF(TODAY()-K31&lt;=41,"Step 6","")))))))</f>
        <v/>
      </c>
      <c r="M31" s="2" t="s">
        <v>20</v>
      </c>
      <c r="N31" s="2" t="s">
        <v>16</v>
      </c>
    </row>
    <row r="32" spans="1:14" ht="28.8" x14ac:dyDescent="0.3">
      <c r="A32" s="2" t="s">
        <v>72</v>
      </c>
      <c r="B32" s="2" t="s">
        <v>116</v>
      </c>
      <c r="C32" s="2">
        <v>120</v>
      </c>
      <c r="D32" s="2" t="s">
        <v>17</v>
      </c>
      <c r="E32" s="2" t="s">
        <v>17</v>
      </c>
      <c r="F32" s="2" t="s">
        <v>160</v>
      </c>
      <c r="G32" s="2" t="s">
        <v>204</v>
      </c>
      <c r="H32" s="2" t="s">
        <v>22</v>
      </c>
      <c r="I32" s="2" t="s">
        <v>248</v>
      </c>
      <c r="J32" s="4">
        <v>1000001001</v>
      </c>
      <c r="K32" s="5">
        <v>45196</v>
      </c>
      <c r="L32" s="2" t="str">
        <f ca="1">IF(Table325[[#This Row],[Sequence Status]]="Replied", Table325[[#This Row],[Sequence Step]],IF(TODAY()-K32&lt;=8,"Step 1",IF(TODAY()-K32&lt;=16,"Step 2",IF(TODAY()-K32&lt;=24,"Step 3",IF(TODAY()-K32&lt;=31,"Step 4",IF(TODAY()-K32&lt;=38,"Step 5",IF(TODAY()-K32&lt;=41,"Step 6","")))))))</f>
        <v/>
      </c>
      <c r="M32" s="2" t="s">
        <v>20</v>
      </c>
      <c r="N32" s="2" t="s">
        <v>16</v>
      </c>
    </row>
    <row r="33" spans="1:14" ht="72" x14ac:dyDescent="0.3">
      <c r="A33" s="2" t="s">
        <v>73</v>
      </c>
      <c r="B33" s="2" t="s">
        <v>117</v>
      </c>
      <c r="C33" s="2">
        <v>540</v>
      </c>
      <c r="D33" s="2" t="s">
        <v>17</v>
      </c>
      <c r="E33" s="2" t="s">
        <v>17</v>
      </c>
      <c r="F33" s="2" t="s">
        <v>161</v>
      </c>
      <c r="G33" s="2" t="s">
        <v>205</v>
      </c>
      <c r="H33" s="2" t="s">
        <v>27</v>
      </c>
      <c r="I33" s="2" t="s">
        <v>249</v>
      </c>
      <c r="J33" s="4">
        <v>1000001001</v>
      </c>
      <c r="K33" s="5">
        <v>45196</v>
      </c>
      <c r="L33" s="2" t="str">
        <f ca="1">IF(Table325[[#This Row],[Sequence Status]]="Replied", Table325[[#This Row],[Sequence Step]],IF(TODAY()-K33&lt;=8,"Step 1",IF(TODAY()-K33&lt;=16,"Step 2",IF(TODAY()-K33&lt;=24,"Step 3",IF(TODAY()-K33&lt;=31,"Step 4",IF(TODAY()-K33&lt;=38,"Step 5",IF(TODAY()-K33&lt;=41,"Step 6","")))))))</f>
        <v/>
      </c>
      <c r="M33" s="2" t="s">
        <v>20</v>
      </c>
      <c r="N33" s="2" t="s">
        <v>16</v>
      </c>
    </row>
    <row r="34" spans="1:14" ht="28.8" x14ac:dyDescent="0.3">
      <c r="A34" s="2" t="s">
        <v>74</v>
      </c>
      <c r="B34" s="2" t="s">
        <v>118</v>
      </c>
      <c r="C34" s="2">
        <v>360</v>
      </c>
      <c r="D34" s="2" t="s">
        <v>17</v>
      </c>
      <c r="E34" s="2" t="s">
        <v>17</v>
      </c>
      <c r="F34" s="2" t="s">
        <v>162</v>
      </c>
      <c r="G34" s="2" t="s">
        <v>206</v>
      </c>
      <c r="H34" s="2" t="s">
        <v>24</v>
      </c>
      <c r="I34" s="2" t="s">
        <v>250</v>
      </c>
      <c r="J34" s="4">
        <v>1000001001</v>
      </c>
      <c r="K34" s="5">
        <v>45196</v>
      </c>
      <c r="L34" s="2" t="str">
        <f ca="1">IF(Table325[[#This Row],[Sequence Status]]="Replied", Table325[[#This Row],[Sequence Step]],IF(TODAY()-K34&lt;=8,"Step 1",IF(TODAY()-K34&lt;=16,"Step 2",IF(TODAY()-K34&lt;=24,"Step 3",IF(TODAY()-K34&lt;=31,"Step 4",IF(TODAY()-K34&lt;=38,"Step 5",IF(TODAY()-K34&lt;=41,"Step 6","")))))))</f>
        <v/>
      </c>
      <c r="M34" s="2" t="s">
        <v>20</v>
      </c>
      <c r="N34" s="2" t="s">
        <v>16</v>
      </c>
    </row>
    <row r="35" spans="1:14" ht="28.8" x14ac:dyDescent="0.3">
      <c r="A35" s="2" t="s">
        <v>75</v>
      </c>
      <c r="B35" s="2" t="s">
        <v>119</v>
      </c>
      <c r="C35" s="2">
        <v>580</v>
      </c>
      <c r="D35" s="2" t="s">
        <v>17</v>
      </c>
      <c r="E35" s="2" t="s">
        <v>17</v>
      </c>
      <c r="F35" s="2" t="s">
        <v>163</v>
      </c>
      <c r="G35" s="2" t="s">
        <v>207</v>
      </c>
      <c r="H35" s="2" t="s">
        <v>22</v>
      </c>
      <c r="I35" s="2" t="s">
        <v>251</v>
      </c>
      <c r="J35" s="4">
        <v>1000001001</v>
      </c>
      <c r="K35" s="5">
        <v>45196</v>
      </c>
      <c r="L35" s="2" t="str">
        <f ca="1">IF(Table325[[#This Row],[Sequence Status]]="Replied", Table325[[#This Row],[Sequence Step]],IF(TODAY()-K35&lt;=8,"Step 1",IF(TODAY()-K35&lt;=16,"Step 2",IF(TODAY()-K35&lt;=24,"Step 3",IF(TODAY()-K35&lt;=31,"Step 4",IF(TODAY()-K35&lt;=38,"Step 5",IF(TODAY()-K35&lt;=41,"Step 6","")))))))</f>
        <v/>
      </c>
      <c r="M35" s="2" t="s">
        <v>20</v>
      </c>
      <c r="N35" s="2" t="s">
        <v>16</v>
      </c>
    </row>
    <row r="36" spans="1:14" ht="28.8" x14ac:dyDescent="0.3">
      <c r="A36" s="2" t="s">
        <v>76</v>
      </c>
      <c r="B36" s="2" t="s">
        <v>120</v>
      </c>
      <c r="C36" s="2">
        <v>18</v>
      </c>
      <c r="D36" s="2" t="s">
        <v>17</v>
      </c>
      <c r="E36" s="2" t="s">
        <v>17</v>
      </c>
      <c r="F36" s="2" t="s">
        <v>164</v>
      </c>
      <c r="G36" s="2" t="s">
        <v>208</v>
      </c>
      <c r="H36" s="2" t="s">
        <v>23</v>
      </c>
      <c r="I36" s="2" t="s">
        <v>252</v>
      </c>
      <c r="J36" s="4">
        <v>1000001001</v>
      </c>
      <c r="K36" s="5">
        <v>45196</v>
      </c>
      <c r="L36" s="2" t="str">
        <f ca="1">IF(Table325[[#This Row],[Sequence Status]]="Replied", Table325[[#This Row],[Sequence Step]],IF(TODAY()-K36&lt;=8,"Step 1",IF(TODAY()-K36&lt;=16,"Step 2",IF(TODAY()-K36&lt;=24,"Step 3",IF(TODAY()-K36&lt;=31,"Step 4",IF(TODAY()-K36&lt;=38,"Step 5",IF(TODAY()-K36&lt;=41,"Step 6","")))))))</f>
        <v/>
      </c>
      <c r="M36" s="2" t="s">
        <v>20</v>
      </c>
      <c r="N36" s="2" t="s">
        <v>16</v>
      </c>
    </row>
    <row r="37" spans="1:14" ht="28.8" x14ac:dyDescent="0.3">
      <c r="A37" s="2" t="s">
        <v>77</v>
      </c>
      <c r="B37" s="2" t="s">
        <v>121</v>
      </c>
      <c r="C37" s="2">
        <v>310</v>
      </c>
      <c r="D37" s="2" t="s">
        <v>17</v>
      </c>
      <c r="E37" s="2" t="s">
        <v>17</v>
      </c>
      <c r="F37" s="2" t="s">
        <v>165</v>
      </c>
      <c r="G37" s="2" t="s">
        <v>209</v>
      </c>
      <c r="H37" s="2" t="s">
        <v>22</v>
      </c>
      <c r="I37" s="2" t="s">
        <v>253</v>
      </c>
      <c r="J37" s="4">
        <v>1000001001</v>
      </c>
      <c r="K37" s="5">
        <v>45196</v>
      </c>
      <c r="L37" s="2" t="str">
        <f ca="1">IF(Table325[[#This Row],[Sequence Status]]="Replied", Table325[[#This Row],[Sequence Step]],IF(TODAY()-K37&lt;=8,"Step 1",IF(TODAY()-K37&lt;=16,"Step 2",IF(TODAY()-K37&lt;=24,"Step 3",IF(TODAY()-K37&lt;=31,"Step 4",IF(TODAY()-K37&lt;=38,"Step 5",IF(TODAY()-K37&lt;=41,"Step 6","")))))))</f>
        <v/>
      </c>
      <c r="M37" s="2" t="s">
        <v>20</v>
      </c>
      <c r="N37" s="2" t="s">
        <v>16</v>
      </c>
    </row>
    <row r="38" spans="1:14" ht="72" x14ac:dyDescent="0.3">
      <c r="A38" s="2" t="s">
        <v>78</v>
      </c>
      <c r="B38" s="2" t="s">
        <v>122</v>
      </c>
      <c r="C38" s="2">
        <v>1200</v>
      </c>
      <c r="D38" s="2" t="s">
        <v>17</v>
      </c>
      <c r="E38" s="2" t="s">
        <v>17</v>
      </c>
      <c r="F38" s="2" t="s">
        <v>166</v>
      </c>
      <c r="G38" s="2" t="s">
        <v>210</v>
      </c>
      <c r="H38" s="2" t="s">
        <v>39</v>
      </c>
      <c r="I38" s="2" t="s">
        <v>254</v>
      </c>
      <c r="J38" s="4">
        <v>1000001001</v>
      </c>
      <c r="K38" s="5">
        <v>45196</v>
      </c>
      <c r="L38" s="2" t="str">
        <f ca="1">IF(Table325[[#This Row],[Sequence Status]]="Replied", Table325[[#This Row],[Sequence Step]],IF(TODAY()-K38&lt;=8,"Step 1",IF(TODAY()-K38&lt;=16,"Step 2",IF(TODAY()-K38&lt;=24,"Step 3",IF(TODAY()-K38&lt;=31,"Step 4",IF(TODAY()-K38&lt;=38,"Step 5",IF(TODAY()-K38&lt;=41,"Step 6","")))))))</f>
        <v/>
      </c>
      <c r="M38" s="2" t="s">
        <v>20</v>
      </c>
      <c r="N38" s="2" t="s">
        <v>16</v>
      </c>
    </row>
    <row r="39" spans="1:14" ht="28.8" x14ac:dyDescent="0.3">
      <c r="A39" s="2" t="s">
        <v>79</v>
      </c>
      <c r="B39" s="2" t="s">
        <v>123</v>
      </c>
      <c r="C39" s="2">
        <v>470</v>
      </c>
      <c r="D39" s="2" t="s">
        <v>17</v>
      </c>
      <c r="E39" s="2" t="s">
        <v>17</v>
      </c>
      <c r="F39" s="2" t="s">
        <v>167</v>
      </c>
      <c r="G39" s="2" t="s">
        <v>211</v>
      </c>
      <c r="H39" s="2" t="s">
        <v>24</v>
      </c>
      <c r="I39" s="2" t="s">
        <v>255</v>
      </c>
      <c r="J39" s="4">
        <v>1000001001</v>
      </c>
      <c r="K39" s="5">
        <v>45196</v>
      </c>
      <c r="L39" s="2" t="str">
        <f ca="1">IF(Table325[[#This Row],[Sequence Status]]="Replied", Table325[[#This Row],[Sequence Step]],IF(TODAY()-K39&lt;=8,"Step 1",IF(TODAY()-K39&lt;=16,"Step 2",IF(TODAY()-K39&lt;=24,"Step 3",IF(TODAY()-K39&lt;=31,"Step 4",IF(TODAY()-K39&lt;=38,"Step 5",IF(TODAY()-K39&lt;=41,"Step 6","")))))))</f>
        <v/>
      </c>
      <c r="M39" s="2" t="s">
        <v>20</v>
      </c>
      <c r="N39" s="2" t="s">
        <v>16</v>
      </c>
    </row>
    <row r="40" spans="1:14" ht="28.8" x14ac:dyDescent="0.3">
      <c r="A40" s="2" t="s">
        <v>80</v>
      </c>
      <c r="B40" s="2" t="s">
        <v>124</v>
      </c>
      <c r="C40" s="2">
        <v>630</v>
      </c>
      <c r="D40" s="2" t="s">
        <v>17</v>
      </c>
      <c r="E40" s="2" t="s">
        <v>17</v>
      </c>
      <c r="F40" s="2" t="s">
        <v>168</v>
      </c>
      <c r="G40" s="2" t="s">
        <v>212</v>
      </c>
      <c r="H40" s="2" t="s">
        <v>21</v>
      </c>
      <c r="I40" s="2" t="s">
        <v>256</v>
      </c>
      <c r="J40" s="4">
        <v>1000001001</v>
      </c>
      <c r="K40" s="5">
        <v>45196</v>
      </c>
      <c r="L40" s="2" t="str">
        <f ca="1">IF(Table325[[#This Row],[Sequence Status]]="Replied", Table325[[#This Row],[Sequence Step]],IF(TODAY()-K40&lt;=8,"Step 1",IF(TODAY()-K40&lt;=16,"Step 2",IF(TODAY()-K40&lt;=24,"Step 3",IF(TODAY()-K40&lt;=31,"Step 4",IF(TODAY()-K40&lt;=38,"Step 5",IF(TODAY()-K40&lt;=41,"Step 6","")))))))</f>
        <v/>
      </c>
      <c r="M40" s="2" t="s">
        <v>20</v>
      </c>
      <c r="N40" s="2" t="s">
        <v>16</v>
      </c>
    </row>
    <row r="41" spans="1:14" ht="28.8" x14ac:dyDescent="0.3">
      <c r="A41" s="2" t="s">
        <v>81</v>
      </c>
      <c r="B41" s="2" t="s">
        <v>125</v>
      </c>
      <c r="C41" s="2">
        <v>5900</v>
      </c>
      <c r="D41" s="2" t="s">
        <v>17</v>
      </c>
      <c r="E41" s="2" t="s">
        <v>17</v>
      </c>
      <c r="F41" s="2" t="s">
        <v>169</v>
      </c>
      <c r="G41" s="2" t="s">
        <v>213</v>
      </c>
      <c r="H41" s="2" t="s">
        <v>31</v>
      </c>
      <c r="I41" s="2" t="s">
        <v>257</v>
      </c>
      <c r="J41" s="4">
        <v>1000001001</v>
      </c>
      <c r="K41" s="5">
        <v>45196</v>
      </c>
      <c r="L41" s="2" t="str">
        <f ca="1">IF(Table325[[#This Row],[Sequence Status]]="Replied", Table325[[#This Row],[Sequence Step]],IF(TODAY()-K41&lt;=8,"Step 1",IF(TODAY()-K41&lt;=16,"Step 2",IF(TODAY()-K41&lt;=24,"Step 3",IF(TODAY()-K41&lt;=31,"Step 4",IF(TODAY()-K41&lt;=38,"Step 5",IF(TODAY()-K41&lt;=41,"Step 6","")))))))</f>
        <v/>
      </c>
      <c r="M41" s="2" t="s">
        <v>20</v>
      </c>
      <c r="N41" s="2" t="s">
        <v>16</v>
      </c>
    </row>
    <row r="42" spans="1:14" ht="28.8" x14ac:dyDescent="0.3">
      <c r="A42" s="2" t="s">
        <v>82</v>
      </c>
      <c r="B42" s="2" t="s">
        <v>126</v>
      </c>
      <c r="C42" s="2">
        <v>160</v>
      </c>
      <c r="D42" s="2" t="s">
        <v>17</v>
      </c>
      <c r="E42" s="2" t="s">
        <v>17</v>
      </c>
      <c r="F42" s="2" t="s">
        <v>170</v>
      </c>
      <c r="G42" s="2" t="s">
        <v>214</v>
      </c>
      <c r="H42" s="2" t="s">
        <v>40</v>
      </c>
      <c r="I42" s="2" t="s">
        <v>258</v>
      </c>
      <c r="J42" s="4">
        <v>1000001001</v>
      </c>
      <c r="K42" s="5">
        <v>45196</v>
      </c>
      <c r="L42" s="2" t="str">
        <f ca="1">IF(Table325[[#This Row],[Sequence Status]]="Replied", Table325[[#This Row],[Sequence Step]],IF(TODAY()-K42&lt;=8,"Step 1",IF(TODAY()-K42&lt;=16,"Step 2",IF(TODAY()-K42&lt;=24,"Step 3",IF(TODAY()-K42&lt;=31,"Step 4",IF(TODAY()-K42&lt;=38,"Step 5",IF(TODAY()-K42&lt;=41,"Step 6","")))))))</f>
        <v/>
      </c>
      <c r="M42" s="2" t="s">
        <v>20</v>
      </c>
      <c r="N42" s="2" t="s">
        <v>16</v>
      </c>
    </row>
    <row r="43" spans="1:14" ht="28.8" x14ac:dyDescent="0.3">
      <c r="A43" s="2" t="s">
        <v>83</v>
      </c>
      <c r="B43" s="2" t="s">
        <v>127</v>
      </c>
      <c r="C43" s="2">
        <v>160</v>
      </c>
      <c r="D43" s="2" t="s">
        <v>17</v>
      </c>
      <c r="E43" s="2" t="s">
        <v>17</v>
      </c>
      <c r="F43" s="2" t="s">
        <v>171</v>
      </c>
      <c r="G43" s="2" t="s">
        <v>215</v>
      </c>
      <c r="H43" s="2" t="s">
        <v>38</v>
      </c>
      <c r="I43" s="2" t="s">
        <v>259</v>
      </c>
      <c r="J43" s="4">
        <v>1000001001</v>
      </c>
      <c r="K43" s="5">
        <v>45196</v>
      </c>
      <c r="L43" s="2" t="str">
        <f ca="1">IF(Table325[[#This Row],[Sequence Status]]="Replied", Table325[[#This Row],[Sequence Step]],IF(TODAY()-K43&lt;=8,"Step 1",IF(TODAY()-K43&lt;=16,"Step 2",IF(TODAY()-K43&lt;=24,"Step 3",IF(TODAY()-K43&lt;=31,"Step 4",IF(TODAY()-K43&lt;=38,"Step 5",IF(TODAY()-K43&lt;=41,"Step 6","")))))))</f>
        <v/>
      </c>
      <c r="M43" s="2" t="s">
        <v>20</v>
      </c>
      <c r="N43" s="2" t="s">
        <v>16</v>
      </c>
    </row>
    <row r="44" spans="1:14" ht="57.6" x14ac:dyDescent="0.3">
      <c r="A44" s="2" t="s">
        <v>84</v>
      </c>
      <c r="B44" s="2" t="s">
        <v>128</v>
      </c>
      <c r="C44" s="2">
        <v>200</v>
      </c>
      <c r="D44" s="2" t="s">
        <v>17</v>
      </c>
      <c r="E44" s="2" t="s">
        <v>17</v>
      </c>
      <c r="F44" s="2" t="s">
        <v>172</v>
      </c>
      <c r="G44" s="2" t="s">
        <v>216</v>
      </c>
      <c r="H44" s="2" t="s">
        <v>41</v>
      </c>
      <c r="I44" s="2" t="s">
        <v>260</v>
      </c>
      <c r="J44" s="4">
        <v>1000001001</v>
      </c>
      <c r="K44" s="5">
        <v>45196</v>
      </c>
      <c r="L44" s="2" t="str">
        <f ca="1">IF(Table325[[#This Row],[Sequence Status]]="Replied", Table325[[#This Row],[Sequence Step]],IF(TODAY()-K44&lt;=8,"Step 1",IF(TODAY()-K44&lt;=16,"Step 2",IF(TODAY()-K44&lt;=24,"Step 3",IF(TODAY()-K44&lt;=31,"Step 4",IF(TODAY()-K44&lt;=38,"Step 5",IF(TODAY()-K44&lt;=41,"Step 6","")))))))</f>
        <v/>
      </c>
      <c r="M44" s="2" t="s">
        <v>20</v>
      </c>
      <c r="N44" s="2" t="s">
        <v>16</v>
      </c>
    </row>
    <row r="45" spans="1:14" ht="28.8" x14ac:dyDescent="0.3">
      <c r="A45" s="2" t="s">
        <v>85</v>
      </c>
      <c r="B45" s="2" t="s">
        <v>129</v>
      </c>
      <c r="C45" s="2">
        <v>350</v>
      </c>
      <c r="D45" s="2" t="s">
        <v>17</v>
      </c>
      <c r="E45" s="2" t="s">
        <v>17</v>
      </c>
      <c r="F45" s="2" t="s">
        <v>173</v>
      </c>
      <c r="G45" s="2" t="s">
        <v>217</v>
      </c>
      <c r="H45" s="2" t="s">
        <v>24</v>
      </c>
      <c r="I45" s="2" t="s">
        <v>261</v>
      </c>
      <c r="J45" s="4">
        <v>1000001001</v>
      </c>
      <c r="K45" s="5">
        <v>45196</v>
      </c>
      <c r="L45" s="2" t="str">
        <f ca="1">IF(Table325[[#This Row],[Sequence Status]]="Replied", Table325[[#This Row],[Sequence Step]],IF(TODAY()-K45&lt;=8,"Step 1",IF(TODAY()-K45&lt;=16,"Step 2",IF(TODAY()-K45&lt;=24,"Step 3",IF(TODAY()-K45&lt;=31,"Step 4",IF(TODAY()-K45&lt;=38,"Step 5",IF(TODAY()-K45&lt;=41,"Step 6","")))))))</f>
        <v/>
      </c>
      <c r="M45" s="2" t="s">
        <v>20</v>
      </c>
      <c r="N45" s="2" t="s">
        <v>16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53540-A33C-448D-93FE-FD5BCC9F4CAE}">
  <sheetPr codeName="Sheet4"/>
  <dimension ref="A1:N45"/>
  <sheetViews>
    <sheetView workbookViewId="0">
      <selection sqref="A1:N45"/>
    </sheetView>
  </sheetViews>
  <sheetFormatPr defaultRowHeight="14.4" x14ac:dyDescent="0.3"/>
  <sheetData>
    <row r="1" spans="1:14" x14ac:dyDescent="0.3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3" t="s">
        <v>12</v>
      </c>
      <c r="K1" s="6" t="s">
        <v>18</v>
      </c>
      <c r="L1" s="6" t="s">
        <v>13</v>
      </c>
      <c r="M1" s="6" t="s">
        <v>14</v>
      </c>
      <c r="N1" s="1" t="s">
        <v>15</v>
      </c>
    </row>
    <row r="2" spans="1:14" ht="28.8" x14ac:dyDescent="0.3">
      <c r="A2" s="2" t="s">
        <v>42</v>
      </c>
      <c r="B2" s="2" t="s">
        <v>86</v>
      </c>
      <c r="C2" s="2">
        <v>130</v>
      </c>
      <c r="D2" s="2" t="s">
        <v>17</v>
      </c>
      <c r="E2" s="2" t="s">
        <v>17</v>
      </c>
      <c r="F2" s="2" t="s">
        <v>130</v>
      </c>
      <c r="G2" s="2" t="s">
        <v>174</v>
      </c>
      <c r="H2" s="2" t="s">
        <v>28</v>
      </c>
      <c r="I2" s="2" t="s">
        <v>218</v>
      </c>
      <c r="J2" s="4">
        <v>1000001001</v>
      </c>
      <c r="K2" s="5">
        <v>45196</v>
      </c>
      <c r="L2" s="2" t="str">
        <f ca="1">IF(Table32[[#This Row],[Sequence Status]]="Replied", Table32[[#This Row],[Sequence Step]],IF(TODAY()-K2&lt;=8,"Step 1",IF(TODAY()-K2&lt;=16,"Step 2",IF(TODAY()-K2&lt;=24,"Step 3",IF(TODAY()-K2&lt;=31,"Step 4",IF(TODAY()-K2&lt;=38,"Step 5",IF(TODAY()-K2&lt;=41,"Step 6","")))))))</f>
        <v/>
      </c>
      <c r="M2" s="2" t="s">
        <v>20</v>
      </c>
      <c r="N2" s="2" t="s">
        <v>16</v>
      </c>
    </row>
    <row r="3" spans="1:14" ht="28.8" x14ac:dyDescent="0.3">
      <c r="A3" s="2" t="s">
        <v>43</v>
      </c>
      <c r="B3" s="2" t="s">
        <v>87</v>
      </c>
      <c r="C3" s="2">
        <v>21</v>
      </c>
      <c r="D3" s="2" t="s">
        <v>17</v>
      </c>
      <c r="E3" s="2" t="s">
        <v>17</v>
      </c>
      <c r="F3" s="2" t="s">
        <v>131</v>
      </c>
      <c r="G3" s="2" t="s">
        <v>175</v>
      </c>
      <c r="H3" s="2" t="s">
        <v>19</v>
      </c>
      <c r="I3" s="2" t="s">
        <v>219</v>
      </c>
      <c r="J3" s="4">
        <v>1000001001</v>
      </c>
      <c r="K3" s="5">
        <v>45196</v>
      </c>
      <c r="L3" s="2" t="str">
        <f ca="1">IF(Table32[[#This Row],[Sequence Status]]="Replied", Table32[[#This Row],[Sequence Step]],IF(TODAY()-K3&lt;=8,"Step 1",IF(TODAY()-K3&lt;=16,"Step 2",IF(TODAY()-K3&lt;=24,"Step 3",IF(TODAY()-K3&lt;=31,"Step 4",IF(TODAY()-K3&lt;=38,"Step 5",IF(TODAY()-K3&lt;=41,"Step 6","")))))))</f>
        <v/>
      </c>
      <c r="M3" s="2" t="s">
        <v>20</v>
      </c>
      <c r="N3" s="2" t="s">
        <v>16</v>
      </c>
    </row>
    <row r="4" spans="1:14" ht="43.2" x14ac:dyDescent="0.3">
      <c r="A4" s="2" t="s">
        <v>44</v>
      </c>
      <c r="B4" s="2" t="s">
        <v>88</v>
      </c>
      <c r="C4" s="2">
        <v>289000</v>
      </c>
      <c r="D4" s="2" t="s">
        <v>17</v>
      </c>
      <c r="E4" s="2" t="s">
        <v>17</v>
      </c>
      <c r="F4" s="2" t="s">
        <v>132</v>
      </c>
      <c r="G4" s="2" t="s">
        <v>176</v>
      </c>
      <c r="H4" s="2" t="s">
        <v>26</v>
      </c>
      <c r="I4" s="2" t="s">
        <v>220</v>
      </c>
      <c r="J4" s="4">
        <v>1000001001</v>
      </c>
      <c r="K4" s="5">
        <v>45196</v>
      </c>
      <c r="L4" s="2" t="str">
        <f ca="1">IF(Table32[[#This Row],[Sequence Status]]="Replied", Table32[[#This Row],[Sequence Step]],IF(TODAY()-K4&lt;=8,"Step 1",IF(TODAY()-K4&lt;=16,"Step 2",IF(TODAY()-K4&lt;=24,"Step 3",IF(TODAY()-K4&lt;=31,"Step 4",IF(TODAY()-K4&lt;=38,"Step 5",IF(TODAY()-K4&lt;=41,"Step 6","")))))))</f>
        <v/>
      </c>
      <c r="M4" s="2" t="s">
        <v>20</v>
      </c>
      <c r="N4" s="2" t="s">
        <v>16</v>
      </c>
    </row>
    <row r="5" spans="1:14" ht="28.8" x14ac:dyDescent="0.3">
      <c r="A5" s="2" t="s">
        <v>45</v>
      </c>
      <c r="B5" s="2" t="s">
        <v>89</v>
      </c>
      <c r="C5" s="2">
        <v>140</v>
      </c>
      <c r="D5" s="2" t="s">
        <v>17</v>
      </c>
      <c r="E5" s="2" t="s">
        <v>17</v>
      </c>
      <c r="F5" s="2" t="s">
        <v>133</v>
      </c>
      <c r="G5" s="2" t="s">
        <v>177</v>
      </c>
      <c r="H5" s="2" t="s">
        <v>28</v>
      </c>
      <c r="I5" s="2" t="s">
        <v>221</v>
      </c>
      <c r="J5" s="4">
        <v>1000001001</v>
      </c>
      <c r="K5" s="5">
        <v>45196</v>
      </c>
      <c r="L5" s="2" t="str">
        <f ca="1">IF(Table32[[#This Row],[Sequence Status]]="Replied", Table32[[#This Row],[Sequence Step]],IF(TODAY()-K5&lt;=8,"Step 1",IF(TODAY()-K5&lt;=16,"Step 2",IF(TODAY()-K5&lt;=24,"Step 3",IF(TODAY()-K5&lt;=31,"Step 4",IF(TODAY()-K5&lt;=38,"Step 5",IF(TODAY()-K5&lt;=41,"Step 6","")))))))</f>
        <v/>
      </c>
      <c r="M5" s="2" t="s">
        <v>20</v>
      </c>
      <c r="N5" s="2" t="s">
        <v>16</v>
      </c>
    </row>
    <row r="6" spans="1:14" ht="72" x14ac:dyDescent="0.3">
      <c r="A6" s="2" t="s">
        <v>46</v>
      </c>
      <c r="B6" s="2" t="s">
        <v>90</v>
      </c>
      <c r="C6" s="2">
        <v>300</v>
      </c>
      <c r="D6" s="2" t="s">
        <v>17</v>
      </c>
      <c r="E6" s="2" t="s">
        <v>17</v>
      </c>
      <c r="F6" s="2" t="s">
        <v>134</v>
      </c>
      <c r="G6" s="2" t="s">
        <v>178</v>
      </c>
      <c r="H6" s="2" t="s">
        <v>29</v>
      </c>
      <c r="I6" s="2" t="s">
        <v>222</v>
      </c>
      <c r="J6" s="4">
        <v>1000001001</v>
      </c>
      <c r="K6" s="5">
        <v>45196</v>
      </c>
      <c r="L6" s="2" t="str">
        <f ca="1">IF(Table32[[#This Row],[Sequence Status]]="Replied", Table32[[#This Row],[Sequence Step]],IF(TODAY()-K6&lt;=8,"Step 1",IF(TODAY()-K6&lt;=16,"Step 2",IF(TODAY()-K6&lt;=24,"Step 3",IF(TODAY()-K6&lt;=31,"Step 4",IF(TODAY()-K6&lt;=38,"Step 5",IF(TODAY()-K6&lt;=41,"Step 6","")))))))</f>
        <v/>
      </c>
      <c r="M6" s="2" t="s">
        <v>20</v>
      </c>
      <c r="N6" s="2" t="s">
        <v>16</v>
      </c>
    </row>
    <row r="7" spans="1:14" ht="28.8" x14ac:dyDescent="0.3">
      <c r="A7" s="2" t="s">
        <v>47</v>
      </c>
      <c r="B7" s="2" t="s">
        <v>91</v>
      </c>
      <c r="C7" s="2">
        <v>550</v>
      </c>
      <c r="D7" s="2" t="s">
        <v>17</v>
      </c>
      <c r="E7" s="2" t="s">
        <v>17</v>
      </c>
      <c r="F7" s="2" t="s">
        <v>135</v>
      </c>
      <c r="G7" s="2" t="s">
        <v>179</v>
      </c>
      <c r="H7" s="2" t="s">
        <v>30</v>
      </c>
      <c r="I7" s="2" t="s">
        <v>223</v>
      </c>
      <c r="J7" s="4">
        <v>1000001001</v>
      </c>
      <c r="K7" s="5">
        <v>45196</v>
      </c>
      <c r="L7" s="2" t="str">
        <f ca="1">IF(Table32[[#This Row],[Sequence Status]]="Replied", Table32[[#This Row],[Sequence Step]],IF(TODAY()-K7&lt;=8,"Step 1",IF(TODAY()-K7&lt;=16,"Step 2",IF(TODAY()-K7&lt;=24,"Step 3",IF(TODAY()-K7&lt;=31,"Step 4",IF(TODAY()-K7&lt;=38,"Step 5",IF(TODAY()-K7&lt;=41,"Step 6","")))))))</f>
        <v/>
      </c>
      <c r="M7" s="2" t="s">
        <v>20</v>
      </c>
      <c r="N7" s="2" t="s">
        <v>16</v>
      </c>
    </row>
    <row r="8" spans="1:14" ht="28.8" x14ac:dyDescent="0.3">
      <c r="A8" s="2" t="s">
        <v>48</v>
      </c>
      <c r="B8" s="2" t="s">
        <v>92</v>
      </c>
      <c r="C8" s="2">
        <v>130</v>
      </c>
      <c r="D8" s="2" t="s">
        <v>17</v>
      </c>
      <c r="E8" s="2" t="s">
        <v>17</v>
      </c>
      <c r="F8" s="2" t="s">
        <v>136</v>
      </c>
      <c r="G8" s="2" t="s">
        <v>180</v>
      </c>
      <c r="H8" s="2" t="s">
        <v>19</v>
      </c>
      <c r="I8" s="2" t="s">
        <v>224</v>
      </c>
      <c r="J8" s="4">
        <v>1000001001</v>
      </c>
      <c r="K8" s="5">
        <v>45196</v>
      </c>
      <c r="L8" s="2" t="str">
        <f ca="1">IF(Table32[[#This Row],[Sequence Status]]="Replied", Table32[[#This Row],[Sequence Step]],IF(TODAY()-K8&lt;=8,"Step 1",IF(TODAY()-K8&lt;=16,"Step 2",IF(TODAY()-K8&lt;=24,"Step 3",IF(TODAY()-K8&lt;=31,"Step 4",IF(TODAY()-K8&lt;=38,"Step 5",IF(TODAY()-K8&lt;=41,"Step 6","")))))))</f>
        <v/>
      </c>
      <c r="M8" s="2" t="s">
        <v>20</v>
      </c>
      <c r="N8" s="2" t="s">
        <v>16</v>
      </c>
    </row>
    <row r="9" spans="1:14" ht="28.8" x14ac:dyDescent="0.3">
      <c r="A9" s="2" t="s">
        <v>49</v>
      </c>
      <c r="B9" s="2" t="s">
        <v>93</v>
      </c>
      <c r="C9" s="2">
        <v>190</v>
      </c>
      <c r="D9" s="2" t="s">
        <v>17</v>
      </c>
      <c r="E9" s="2" t="s">
        <v>17</v>
      </c>
      <c r="F9" s="2" t="s">
        <v>137</v>
      </c>
      <c r="G9" s="2" t="s">
        <v>181</v>
      </c>
      <c r="H9" s="2" t="s">
        <v>28</v>
      </c>
      <c r="I9" s="2" t="s">
        <v>225</v>
      </c>
      <c r="J9" s="4">
        <v>1000001001</v>
      </c>
      <c r="K9" s="5">
        <v>45196</v>
      </c>
      <c r="L9" s="2" t="str">
        <f ca="1">IF(Table32[[#This Row],[Sequence Status]]="Replied", Table32[[#This Row],[Sequence Step]],IF(TODAY()-K9&lt;=8,"Step 1",IF(TODAY()-K9&lt;=16,"Step 2",IF(TODAY()-K9&lt;=24,"Step 3",IF(TODAY()-K9&lt;=31,"Step 4",IF(TODAY()-K9&lt;=38,"Step 5",IF(TODAY()-K9&lt;=41,"Step 6","")))))))</f>
        <v/>
      </c>
      <c r="M9" s="2" t="s">
        <v>20</v>
      </c>
      <c r="N9" s="2" t="s">
        <v>16</v>
      </c>
    </row>
    <row r="10" spans="1:14" ht="28.8" x14ac:dyDescent="0.3">
      <c r="A10" s="2" t="s">
        <v>50</v>
      </c>
      <c r="B10" s="2" t="s">
        <v>94</v>
      </c>
      <c r="C10" s="2">
        <v>1100</v>
      </c>
      <c r="D10" s="2" t="s">
        <v>17</v>
      </c>
      <c r="E10" s="2" t="s">
        <v>17</v>
      </c>
      <c r="F10" s="2" t="s">
        <v>138</v>
      </c>
      <c r="G10" s="2" t="s">
        <v>182</v>
      </c>
      <c r="H10" s="2" t="s">
        <v>22</v>
      </c>
      <c r="I10" s="2" t="s">
        <v>226</v>
      </c>
      <c r="J10" s="4">
        <v>1000001001</v>
      </c>
      <c r="K10" s="5">
        <v>45196</v>
      </c>
      <c r="L10" s="2" t="str">
        <f ca="1">IF(Table32[[#This Row],[Sequence Status]]="Replied", Table32[[#This Row],[Sequence Step]],IF(TODAY()-K10&lt;=8,"Step 1",IF(TODAY()-K10&lt;=16,"Step 2",IF(TODAY()-K10&lt;=24,"Step 3",IF(TODAY()-K10&lt;=31,"Step 4",IF(TODAY()-K10&lt;=38,"Step 5",IF(TODAY()-K10&lt;=41,"Step 6","")))))))</f>
        <v/>
      </c>
      <c r="M10" s="2" t="s">
        <v>20</v>
      </c>
      <c r="N10" s="2" t="s">
        <v>16</v>
      </c>
    </row>
    <row r="11" spans="1:14" ht="28.8" x14ac:dyDescent="0.3">
      <c r="A11" s="2" t="s">
        <v>51</v>
      </c>
      <c r="B11" s="2" t="s">
        <v>95</v>
      </c>
      <c r="C11" s="2">
        <v>25000</v>
      </c>
      <c r="D11" s="2" t="s">
        <v>17</v>
      </c>
      <c r="E11" s="2" t="s">
        <v>17</v>
      </c>
      <c r="F11" s="2" t="s">
        <v>139</v>
      </c>
      <c r="G11" s="2" t="s">
        <v>183</v>
      </c>
      <c r="H11" s="2" t="s">
        <v>24</v>
      </c>
      <c r="I11" s="2" t="s">
        <v>227</v>
      </c>
      <c r="J11" s="4">
        <v>1000001001</v>
      </c>
      <c r="K11" s="5">
        <v>45196</v>
      </c>
      <c r="L11" s="2" t="str">
        <f ca="1">IF(Table32[[#This Row],[Sequence Status]]="Replied", Table32[[#This Row],[Sequence Step]],IF(TODAY()-K11&lt;=8,"Step 1",IF(TODAY()-K11&lt;=16,"Step 2",IF(TODAY()-K11&lt;=24,"Step 3",IF(TODAY()-K11&lt;=31,"Step 4",IF(TODAY()-K11&lt;=38,"Step 5",IF(TODAY()-K11&lt;=41,"Step 6","")))))))</f>
        <v/>
      </c>
      <c r="M11" s="2" t="s">
        <v>20</v>
      </c>
      <c r="N11" s="2" t="s">
        <v>16</v>
      </c>
    </row>
    <row r="12" spans="1:14" ht="28.8" x14ac:dyDescent="0.3">
      <c r="A12" s="2" t="s">
        <v>52</v>
      </c>
      <c r="B12" s="2" t="s">
        <v>96</v>
      </c>
      <c r="C12" s="2">
        <v>250</v>
      </c>
      <c r="D12" s="2" t="s">
        <v>17</v>
      </c>
      <c r="E12" s="2" t="s">
        <v>17</v>
      </c>
      <c r="F12" s="2" t="s">
        <v>140</v>
      </c>
      <c r="G12" s="2" t="s">
        <v>184</v>
      </c>
      <c r="H12" s="2" t="s">
        <v>21</v>
      </c>
      <c r="I12" s="2" t="s">
        <v>228</v>
      </c>
      <c r="J12" s="4">
        <v>1000001001</v>
      </c>
      <c r="K12" s="5">
        <v>45196</v>
      </c>
      <c r="L12" s="2" t="str">
        <f ca="1">IF(Table32[[#This Row],[Sequence Status]]="Replied", Table32[[#This Row],[Sequence Step]],IF(TODAY()-K12&lt;=8,"Step 1",IF(TODAY()-K12&lt;=16,"Step 2",IF(TODAY()-K12&lt;=24,"Step 3",IF(TODAY()-K12&lt;=31,"Step 4",IF(TODAY()-K12&lt;=38,"Step 5",IF(TODAY()-K12&lt;=41,"Step 6","")))))))</f>
        <v/>
      </c>
      <c r="M12" s="2" t="s">
        <v>20</v>
      </c>
      <c r="N12" s="2" t="s">
        <v>16</v>
      </c>
    </row>
    <row r="13" spans="1:14" ht="28.8" x14ac:dyDescent="0.3">
      <c r="A13" s="2" t="s">
        <v>53</v>
      </c>
      <c r="B13" s="2" t="s">
        <v>97</v>
      </c>
      <c r="C13" s="2">
        <v>300</v>
      </c>
      <c r="D13" s="2" t="s">
        <v>17</v>
      </c>
      <c r="E13" s="2" t="s">
        <v>17</v>
      </c>
      <c r="F13" s="2" t="s">
        <v>141</v>
      </c>
      <c r="G13" s="2" t="s">
        <v>185</v>
      </c>
      <c r="H13" s="2" t="s">
        <v>21</v>
      </c>
      <c r="I13" s="2" t="s">
        <v>229</v>
      </c>
      <c r="J13" s="4">
        <v>1000001001</v>
      </c>
      <c r="K13" s="5">
        <v>45196</v>
      </c>
      <c r="L13" s="2" t="str">
        <f ca="1">IF(Table32[[#This Row],[Sequence Status]]="Replied", Table32[[#This Row],[Sequence Step]],IF(TODAY()-K13&lt;=8,"Step 1",IF(TODAY()-K13&lt;=16,"Step 2",IF(TODAY()-K13&lt;=24,"Step 3",IF(TODAY()-K13&lt;=31,"Step 4",IF(TODAY()-K13&lt;=38,"Step 5",IF(TODAY()-K13&lt;=41,"Step 6","")))))))</f>
        <v/>
      </c>
      <c r="M13" s="2" t="s">
        <v>20</v>
      </c>
      <c r="N13" s="2" t="s">
        <v>16</v>
      </c>
    </row>
    <row r="14" spans="1:14" ht="28.8" x14ac:dyDescent="0.3">
      <c r="A14" s="2" t="s">
        <v>54</v>
      </c>
      <c r="B14" s="2" t="s">
        <v>98</v>
      </c>
      <c r="C14" s="2">
        <v>62000</v>
      </c>
      <c r="D14" s="2" t="s">
        <v>17</v>
      </c>
      <c r="E14" s="2" t="s">
        <v>17</v>
      </c>
      <c r="F14" s="2" t="s">
        <v>142</v>
      </c>
      <c r="G14" s="2" t="s">
        <v>186</v>
      </c>
      <c r="H14" s="2" t="s">
        <v>31</v>
      </c>
      <c r="I14" s="2" t="s">
        <v>230</v>
      </c>
      <c r="J14" s="4">
        <v>1000001001</v>
      </c>
      <c r="K14" s="5">
        <v>45196</v>
      </c>
      <c r="L14" s="2" t="str">
        <f ca="1">IF(Table32[[#This Row],[Sequence Status]]="Replied", Table32[[#This Row],[Sequence Step]],IF(TODAY()-K14&lt;=8,"Step 1",IF(TODAY()-K14&lt;=16,"Step 2",IF(TODAY()-K14&lt;=24,"Step 3",IF(TODAY()-K14&lt;=31,"Step 4",IF(TODAY()-K14&lt;=38,"Step 5",IF(TODAY()-K14&lt;=41,"Step 6","")))))))</f>
        <v/>
      </c>
      <c r="M14" s="2" t="s">
        <v>20</v>
      </c>
      <c r="N14" s="2" t="s">
        <v>16</v>
      </c>
    </row>
    <row r="15" spans="1:14" ht="28.8" x14ac:dyDescent="0.3">
      <c r="A15" s="2" t="s">
        <v>55</v>
      </c>
      <c r="B15" s="2" t="s">
        <v>99</v>
      </c>
      <c r="C15" s="2">
        <v>1400</v>
      </c>
      <c r="D15" s="2" t="s">
        <v>17</v>
      </c>
      <c r="E15" s="2" t="s">
        <v>17</v>
      </c>
      <c r="F15" s="2" t="s">
        <v>143</v>
      </c>
      <c r="G15" s="2" t="s">
        <v>187</v>
      </c>
      <c r="H15" s="2" t="s">
        <v>24</v>
      </c>
      <c r="I15" s="2" t="s">
        <v>231</v>
      </c>
      <c r="J15" s="4">
        <v>1000001001</v>
      </c>
      <c r="K15" s="5">
        <v>45196</v>
      </c>
      <c r="L15" s="2" t="str">
        <f ca="1">IF(Table32[[#This Row],[Sequence Status]]="Replied", Table32[[#This Row],[Sequence Step]],IF(TODAY()-K15&lt;=8,"Step 1",IF(TODAY()-K15&lt;=16,"Step 2",IF(TODAY()-K15&lt;=24,"Step 3",IF(TODAY()-K15&lt;=31,"Step 4",IF(TODAY()-K15&lt;=38,"Step 5",IF(TODAY()-K15&lt;=41,"Step 6","")))))))</f>
        <v/>
      </c>
      <c r="M15" s="2" t="s">
        <v>20</v>
      </c>
      <c r="N15" s="2" t="s">
        <v>16</v>
      </c>
    </row>
    <row r="16" spans="1:14" ht="28.8" x14ac:dyDescent="0.3">
      <c r="A16" s="2" t="s">
        <v>56</v>
      </c>
      <c r="B16" s="2" t="s">
        <v>100</v>
      </c>
      <c r="C16" s="2">
        <v>280</v>
      </c>
      <c r="D16" s="2" t="s">
        <v>17</v>
      </c>
      <c r="E16" s="2" t="s">
        <v>17</v>
      </c>
      <c r="F16" s="2" t="s">
        <v>144</v>
      </c>
      <c r="G16" s="2" t="s">
        <v>188</v>
      </c>
      <c r="H16" s="2" t="s">
        <v>22</v>
      </c>
      <c r="I16" s="2" t="s">
        <v>232</v>
      </c>
      <c r="J16" s="4">
        <v>1000001001</v>
      </c>
      <c r="K16" s="5">
        <v>45196</v>
      </c>
      <c r="L16" s="2" t="str">
        <f ca="1">IF(Table32[[#This Row],[Sequence Status]]="Replied", Table32[[#This Row],[Sequence Step]],IF(TODAY()-K16&lt;=8,"Step 1",IF(TODAY()-K16&lt;=16,"Step 2",IF(TODAY()-K16&lt;=24,"Step 3",IF(TODAY()-K16&lt;=31,"Step 4",IF(TODAY()-K16&lt;=38,"Step 5",IF(TODAY()-K16&lt;=41,"Step 6","")))))))</f>
        <v/>
      </c>
      <c r="M16" s="2" t="s">
        <v>20</v>
      </c>
      <c r="N16" s="2" t="s">
        <v>16</v>
      </c>
    </row>
    <row r="17" spans="1:14" ht="28.8" x14ac:dyDescent="0.3">
      <c r="A17" s="2" t="s">
        <v>57</v>
      </c>
      <c r="B17" s="2" t="s">
        <v>101</v>
      </c>
      <c r="C17" s="2">
        <v>130</v>
      </c>
      <c r="D17" s="2" t="s">
        <v>17</v>
      </c>
      <c r="E17" s="2" t="s">
        <v>17</v>
      </c>
      <c r="F17" s="2" t="s">
        <v>145</v>
      </c>
      <c r="G17" s="2" t="s">
        <v>189</v>
      </c>
      <c r="H17" s="2" t="s">
        <v>25</v>
      </c>
      <c r="I17" s="2" t="s">
        <v>233</v>
      </c>
      <c r="J17" s="4">
        <v>1000001001</v>
      </c>
      <c r="K17" s="5">
        <v>45196</v>
      </c>
      <c r="L17" s="2" t="str">
        <f ca="1">IF(Table32[[#This Row],[Sequence Status]]="Replied", Table32[[#This Row],[Sequence Step]],IF(TODAY()-K17&lt;=8,"Step 1",IF(TODAY()-K17&lt;=16,"Step 2",IF(TODAY()-K17&lt;=24,"Step 3",IF(TODAY()-K17&lt;=31,"Step 4",IF(TODAY()-K17&lt;=38,"Step 5",IF(TODAY()-K17&lt;=41,"Step 6","")))))))</f>
        <v/>
      </c>
      <c r="M17" s="2" t="s">
        <v>20</v>
      </c>
      <c r="N17" s="2" t="s">
        <v>16</v>
      </c>
    </row>
    <row r="18" spans="1:14" ht="72" x14ac:dyDescent="0.3">
      <c r="A18" s="2" t="s">
        <v>58</v>
      </c>
      <c r="B18" s="2" t="s">
        <v>102</v>
      </c>
      <c r="C18" s="2">
        <v>1400</v>
      </c>
      <c r="D18" s="2" t="s">
        <v>17</v>
      </c>
      <c r="E18" s="2" t="s">
        <v>17</v>
      </c>
      <c r="F18" s="2" t="s">
        <v>146</v>
      </c>
      <c r="G18" s="2" t="s">
        <v>190</v>
      </c>
      <c r="H18" s="2" t="s">
        <v>32</v>
      </c>
      <c r="I18" s="2" t="s">
        <v>234</v>
      </c>
      <c r="J18" s="4">
        <v>1000001001</v>
      </c>
      <c r="K18" s="5">
        <v>45196</v>
      </c>
      <c r="L18" s="2" t="str">
        <f ca="1">IF(Table32[[#This Row],[Sequence Status]]="Replied", Table32[[#This Row],[Sequence Step]],IF(TODAY()-K18&lt;=8,"Step 1",IF(TODAY()-K18&lt;=16,"Step 2",IF(TODAY()-K18&lt;=24,"Step 3",IF(TODAY()-K18&lt;=31,"Step 4",IF(TODAY()-K18&lt;=38,"Step 5",IF(TODAY()-K18&lt;=41,"Step 6","")))))))</f>
        <v/>
      </c>
      <c r="M18" s="2" t="s">
        <v>20</v>
      </c>
      <c r="N18" s="2" t="s">
        <v>16</v>
      </c>
    </row>
    <row r="19" spans="1:14" ht="28.8" x14ac:dyDescent="0.3">
      <c r="A19" s="2" t="s">
        <v>59</v>
      </c>
      <c r="B19" s="2" t="s">
        <v>103</v>
      </c>
      <c r="C19" s="2">
        <v>311000</v>
      </c>
      <c r="D19" s="2" t="s">
        <v>17</v>
      </c>
      <c r="E19" s="2" t="s">
        <v>17</v>
      </c>
      <c r="F19" s="2" t="s">
        <v>147</v>
      </c>
      <c r="G19" s="2" t="s">
        <v>191</v>
      </c>
      <c r="H19" s="2" t="s">
        <v>33</v>
      </c>
      <c r="I19" s="2" t="s">
        <v>235</v>
      </c>
      <c r="J19" s="4">
        <v>1000001001</v>
      </c>
      <c r="K19" s="5">
        <v>45196</v>
      </c>
      <c r="L19" s="2" t="str">
        <f ca="1">IF(Table32[[#This Row],[Sequence Status]]="Replied", Table32[[#This Row],[Sequence Step]],IF(TODAY()-K19&lt;=8,"Step 1",IF(TODAY()-K19&lt;=16,"Step 2",IF(TODAY()-K19&lt;=24,"Step 3",IF(TODAY()-K19&lt;=31,"Step 4",IF(TODAY()-K19&lt;=38,"Step 5",IF(TODAY()-K19&lt;=41,"Step 6","")))))))</f>
        <v/>
      </c>
      <c r="M19" s="2" t="s">
        <v>20</v>
      </c>
      <c r="N19" s="2" t="s">
        <v>16</v>
      </c>
    </row>
    <row r="20" spans="1:14" ht="28.8" x14ac:dyDescent="0.3">
      <c r="A20" s="2" t="s">
        <v>60</v>
      </c>
      <c r="B20" s="2" t="s">
        <v>104</v>
      </c>
      <c r="C20" s="2">
        <v>180</v>
      </c>
      <c r="D20" s="2" t="s">
        <v>17</v>
      </c>
      <c r="E20" s="2" t="s">
        <v>17</v>
      </c>
      <c r="F20" s="2" t="s">
        <v>148</v>
      </c>
      <c r="G20" s="2" t="s">
        <v>192</v>
      </c>
      <c r="H20" s="2" t="s">
        <v>21</v>
      </c>
      <c r="I20" s="2" t="s">
        <v>236</v>
      </c>
      <c r="J20" s="4">
        <v>1000001001</v>
      </c>
      <c r="K20" s="5">
        <v>45196</v>
      </c>
      <c r="L20" s="2" t="str">
        <f ca="1">IF(Table32[[#This Row],[Sequence Status]]="Replied", Table32[[#This Row],[Sequence Step]],IF(TODAY()-K20&lt;=8,"Step 1",IF(TODAY()-K20&lt;=16,"Step 2",IF(TODAY()-K20&lt;=24,"Step 3",IF(TODAY()-K20&lt;=31,"Step 4",IF(TODAY()-K20&lt;=38,"Step 5",IF(TODAY()-K20&lt;=41,"Step 6","")))))))</f>
        <v/>
      </c>
      <c r="M20" s="2" t="s">
        <v>20</v>
      </c>
      <c r="N20" s="2" t="s">
        <v>16</v>
      </c>
    </row>
    <row r="21" spans="1:14" ht="43.2" x14ac:dyDescent="0.3">
      <c r="A21" s="2" t="s">
        <v>61</v>
      </c>
      <c r="B21" s="2" t="s">
        <v>105</v>
      </c>
      <c r="C21" s="2">
        <v>1300</v>
      </c>
      <c r="D21" s="2" t="s">
        <v>17</v>
      </c>
      <c r="E21" s="2" t="s">
        <v>17</v>
      </c>
      <c r="F21" s="2" t="s">
        <v>149</v>
      </c>
      <c r="G21" s="2" t="s">
        <v>193</v>
      </c>
      <c r="H21" s="2" t="s">
        <v>34</v>
      </c>
      <c r="I21" s="2" t="s">
        <v>237</v>
      </c>
      <c r="J21" s="4">
        <v>1000001001</v>
      </c>
      <c r="K21" s="5">
        <v>45196</v>
      </c>
      <c r="L21" s="2" t="str">
        <f ca="1">IF(Table32[[#This Row],[Sequence Status]]="Replied", Table32[[#This Row],[Sequence Step]],IF(TODAY()-K21&lt;=8,"Step 1",IF(TODAY()-K21&lt;=16,"Step 2",IF(TODAY()-K21&lt;=24,"Step 3",IF(TODAY()-K21&lt;=31,"Step 4",IF(TODAY()-K21&lt;=38,"Step 5",IF(TODAY()-K21&lt;=41,"Step 6","")))))))</f>
        <v/>
      </c>
      <c r="M21" s="2" t="s">
        <v>20</v>
      </c>
      <c r="N21" s="2" t="s">
        <v>16</v>
      </c>
    </row>
    <row r="22" spans="1:14" ht="28.8" x14ac:dyDescent="0.3">
      <c r="A22" s="2" t="s">
        <v>62</v>
      </c>
      <c r="B22" s="2" t="s">
        <v>106</v>
      </c>
      <c r="C22" s="2">
        <v>170</v>
      </c>
      <c r="D22" s="2" t="s">
        <v>17</v>
      </c>
      <c r="E22" s="2" t="s">
        <v>17</v>
      </c>
      <c r="F22" s="2" t="s">
        <v>150</v>
      </c>
      <c r="G22" s="2" t="s">
        <v>194</v>
      </c>
      <c r="H22" s="2" t="s">
        <v>23</v>
      </c>
      <c r="I22" s="2" t="s">
        <v>238</v>
      </c>
      <c r="J22" s="4">
        <v>1000001001</v>
      </c>
      <c r="K22" s="5">
        <v>45196</v>
      </c>
      <c r="L22" s="2" t="str">
        <f ca="1">IF(Table32[[#This Row],[Sequence Status]]="Replied", Table32[[#This Row],[Sequence Step]],IF(TODAY()-K22&lt;=8,"Step 1",IF(TODAY()-K22&lt;=16,"Step 2",IF(TODAY()-K22&lt;=24,"Step 3",IF(TODAY()-K22&lt;=31,"Step 4",IF(TODAY()-K22&lt;=38,"Step 5",IF(TODAY()-K22&lt;=41,"Step 6","")))))))</f>
        <v/>
      </c>
      <c r="M22" s="2" t="s">
        <v>20</v>
      </c>
      <c r="N22" s="2" t="s">
        <v>16</v>
      </c>
    </row>
    <row r="23" spans="1:14" ht="28.8" x14ac:dyDescent="0.3">
      <c r="A23" s="2" t="s">
        <v>63</v>
      </c>
      <c r="B23" s="2" t="s">
        <v>107</v>
      </c>
      <c r="C23" s="2">
        <v>370</v>
      </c>
      <c r="D23" s="2" t="s">
        <v>17</v>
      </c>
      <c r="E23" s="2" t="s">
        <v>17</v>
      </c>
      <c r="F23" s="2" t="s">
        <v>151</v>
      </c>
      <c r="G23" s="2" t="s">
        <v>195</v>
      </c>
      <c r="H23" s="2" t="s">
        <v>22</v>
      </c>
      <c r="I23" s="2" t="s">
        <v>239</v>
      </c>
      <c r="J23" s="4">
        <v>1000001001</v>
      </c>
      <c r="K23" s="5">
        <v>45196</v>
      </c>
      <c r="L23" s="2" t="str">
        <f ca="1">IF(Table32[[#This Row],[Sequence Status]]="Replied", Table32[[#This Row],[Sequence Step]],IF(TODAY()-K23&lt;=8,"Step 1",IF(TODAY()-K23&lt;=16,"Step 2",IF(TODAY()-K23&lt;=24,"Step 3",IF(TODAY()-K23&lt;=31,"Step 4",IF(TODAY()-K23&lt;=38,"Step 5",IF(TODAY()-K23&lt;=41,"Step 6","")))))))</f>
        <v/>
      </c>
      <c r="M23" s="2" t="s">
        <v>20</v>
      </c>
      <c r="N23" s="2" t="s">
        <v>16</v>
      </c>
    </row>
    <row r="24" spans="1:14" ht="57.6" x14ac:dyDescent="0.3">
      <c r="A24" s="2" t="s">
        <v>64</v>
      </c>
      <c r="B24" s="2" t="s">
        <v>108</v>
      </c>
      <c r="C24" s="2">
        <v>200</v>
      </c>
      <c r="D24" s="2" t="s">
        <v>17</v>
      </c>
      <c r="E24" s="2" t="s">
        <v>17</v>
      </c>
      <c r="F24" s="2" t="s">
        <v>152</v>
      </c>
      <c r="G24" s="2" t="s">
        <v>196</v>
      </c>
      <c r="H24" s="2" t="s">
        <v>35</v>
      </c>
      <c r="I24" s="2" t="s">
        <v>240</v>
      </c>
      <c r="J24" s="4">
        <v>1000001001</v>
      </c>
      <c r="K24" s="5">
        <v>45196</v>
      </c>
      <c r="L24" s="2" t="str">
        <f ca="1">IF(Table32[[#This Row],[Sequence Status]]="Replied", Table32[[#This Row],[Sequence Step]],IF(TODAY()-K24&lt;=8,"Step 1",IF(TODAY()-K24&lt;=16,"Step 2",IF(TODAY()-K24&lt;=24,"Step 3",IF(TODAY()-K24&lt;=31,"Step 4",IF(TODAY()-K24&lt;=38,"Step 5",IF(TODAY()-K24&lt;=41,"Step 6","")))))))</f>
        <v/>
      </c>
      <c r="M24" s="2" t="s">
        <v>20</v>
      </c>
      <c r="N24" s="2" t="s">
        <v>16</v>
      </c>
    </row>
    <row r="25" spans="1:14" ht="57.6" x14ac:dyDescent="0.3">
      <c r="A25" s="2" t="s">
        <v>65</v>
      </c>
      <c r="B25" s="2" t="s">
        <v>109</v>
      </c>
      <c r="C25" s="2">
        <v>5300</v>
      </c>
      <c r="D25" s="2" t="s">
        <v>17</v>
      </c>
      <c r="E25" s="2" t="s">
        <v>17</v>
      </c>
      <c r="F25" s="2" t="s">
        <v>153</v>
      </c>
      <c r="G25" s="2" t="s">
        <v>197</v>
      </c>
      <c r="H25" s="2" t="s">
        <v>36</v>
      </c>
      <c r="I25" s="2" t="s">
        <v>241</v>
      </c>
      <c r="J25" s="4">
        <v>1000001001</v>
      </c>
      <c r="K25" s="5">
        <v>45196</v>
      </c>
      <c r="L25" s="2" t="str">
        <f ca="1">IF(Table32[[#This Row],[Sequence Status]]="Replied", Table32[[#This Row],[Sequence Step]],IF(TODAY()-K25&lt;=8,"Step 1",IF(TODAY()-K25&lt;=16,"Step 2",IF(TODAY()-K25&lt;=24,"Step 3",IF(TODAY()-K25&lt;=31,"Step 4",IF(TODAY()-K25&lt;=38,"Step 5",IF(TODAY()-K25&lt;=41,"Step 6","")))))))</f>
        <v/>
      </c>
      <c r="M25" s="2" t="s">
        <v>20</v>
      </c>
      <c r="N25" s="2" t="s">
        <v>16</v>
      </c>
    </row>
    <row r="26" spans="1:14" ht="28.8" x14ac:dyDescent="0.3">
      <c r="A26" s="2" t="s">
        <v>66</v>
      </c>
      <c r="B26" s="2" t="s">
        <v>110</v>
      </c>
      <c r="C26" s="2">
        <v>4600</v>
      </c>
      <c r="D26" s="2" t="s">
        <v>17</v>
      </c>
      <c r="E26" s="2" t="s">
        <v>17</v>
      </c>
      <c r="F26" s="2" t="s">
        <v>154</v>
      </c>
      <c r="G26" s="2" t="s">
        <v>198</v>
      </c>
      <c r="H26" s="2" t="s">
        <v>24</v>
      </c>
      <c r="I26" s="2" t="s">
        <v>242</v>
      </c>
      <c r="J26" s="4">
        <v>1000001001</v>
      </c>
      <c r="K26" s="5">
        <v>45196</v>
      </c>
      <c r="L26" s="2" t="str">
        <f ca="1">IF(Table32[[#This Row],[Sequence Status]]="Replied", Table32[[#This Row],[Sequence Step]],IF(TODAY()-K26&lt;=8,"Step 1",IF(TODAY()-K26&lt;=16,"Step 2",IF(TODAY()-K26&lt;=24,"Step 3",IF(TODAY()-K26&lt;=31,"Step 4",IF(TODAY()-K26&lt;=38,"Step 5",IF(TODAY()-K26&lt;=41,"Step 6","")))))))</f>
        <v/>
      </c>
      <c r="M26" s="2" t="s">
        <v>20</v>
      </c>
      <c r="N26" s="2" t="s">
        <v>16</v>
      </c>
    </row>
    <row r="27" spans="1:14" ht="43.2" x14ac:dyDescent="0.3">
      <c r="A27" s="2" t="s">
        <v>67</v>
      </c>
      <c r="B27" s="2" t="s">
        <v>111</v>
      </c>
      <c r="C27" s="2">
        <v>350</v>
      </c>
      <c r="D27" s="2" t="s">
        <v>17</v>
      </c>
      <c r="E27" s="2" t="s">
        <v>17</v>
      </c>
      <c r="F27" s="2" t="s">
        <v>155</v>
      </c>
      <c r="G27" s="2" t="s">
        <v>199</v>
      </c>
      <c r="H27" s="2" t="s">
        <v>37</v>
      </c>
      <c r="I27" s="2" t="s">
        <v>243</v>
      </c>
      <c r="J27" s="4">
        <v>1000001001</v>
      </c>
      <c r="K27" s="5">
        <v>45196</v>
      </c>
      <c r="L27" s="2" t="str">
        <f ca="1">IF(Table32[[#This Row],[Sequence Status]]="Replied", Table32[[#This Row],[Sequence Step]],IF(TODAY()-K27&lt;=8,"Step 1",IF(TODAY()-K27&lt;=16,"Step 2",IF(TODAY()-K27&lt;=24,"Step 3",IF(TODAY()-K27&lt;=31,"Step 4",IF(TODAY()-K27&lt;=38,"Step 5",IF(TODAY()-K27&lt;=41,"Step 6","")))))))</f>
        <v/>
      </c>
      <c r="M27" s="2" t="s">
        <v>20</v>
      </c>
      <c r="N27" s="2" t="s">
        <v>16</v>
      </c>
    </row>
    <row r="28" spans="1:14" ht="28.8" x14ac:dyDescent="0.3">
      <c r="A28" s="2" t="s">
        <v>68</v>
      </c>
      <c r="B28" s="2" t="s">
        <v>112</v>
      </c>
      <c r="C28" s="2">
        <v>300</v>
      </c>
      <c r="D28" s="2" t="s">
        <v>17</v>
      </c>
      <c r="E28" s="2" t="s">
        <v>17</v>
      </c>
      <c r="F28" s="2" t="s">
        <v>156</v>
      </c>
      <c r="G28" s="2" t="s">
        <v>200</v>
      </c>
      <c r="H28" s="2" t="s">
        <v>38</v>
      </c>
      <c r="I28" s="2" t="s">
        <v>244</v>
      </c>
      <c r="J28" s="4">
        <v>1000001001</v>
      </c>
      <c r="K28" s="5">
        <v>45196</v>
      </c>
      <c r="L28" s="2" t="str">
        <f ca="1">IF(Table32[[#This Row],[Sequence Status]]="Replied", Table32[[#This Row],[Sequence Step]],IF(TODAY()-K28&lt;=8,"Step 1",IF(TODAY()-K28&lt;=16,"Step 2",IF(TODAY()-K28&lt;=24,"Step 3",IF(TODAY()-K28&lt;=31,"Step 4",IF(TODAY()-K28&lt;=38,"Step 5",IF(TODAY()-K28&lt;=41,"Step 6","")))))))</f>
        <v/>
      </c>
      <c r="M28" s="2" t="s">
        <v>20</v>
      </c>
      <c r="N28" s="2" t="s">
        <v>16</v>
      </c>
    </row>
    <row r="29" spans="1:14" ht="28.8" x14ac:dyDescent="0.3">
      <c r="A29" s="2" t="s">
        <v>69</v>
      </c>
      <c r="B29" s="2" t="s">
        <v>113</v>
      </c>
      <c r="C29" s="2">
        <v>240</v>
      </c>
      <c r="D29" s="2" t="s">
        <v>17</v>
      </c>
      <c r="E29" s="2" t="s">
        <v>17</v>
      </c>
      <c r="F29" s="2" t="s">
        <v>157</v>
      </c>
      <c r="G29" s="2" t="s">
        <v>201</v>
      </c>
      <c r="H29" s="2" t="s">
        <v>38</v>
      </c>
      <c r="I29" s="2" t="s">
        <v>245</v>
      </c>
      <c r="J29" s="4">
        <v>1000001001</v>
      </c>
      <c r="K29" s="5">
        <v>45196</v>
      </c>
      <c r="L29" s="2" t="str">
        <f ca="1">IF(Table32[[#This Row],[Sequence Status]]="Replied", Table32[[#This Row],[Sequence Step]],IF(TODAY()-K29&lt;=8,"Step 1",IF(TODAY()-K29&lt;=16,"Step 2",IF(TODAY()-K29&lt;=24,"Step 3",IF(TODAY()-K29&lt;=31,"Step 4",IF(TODAY()-K29&lt;=38,"Step 5",IF(TODAY()-K29&lt;=41,"Step 6","")))))))</f>
        <v/>
      </c>
      <c r="M29" s="2" t="s">
        <v>20</v>
      </c>
      <c r="N29" s="2" t="s">
        <v>16</v>
      </c>
    </row>
    <row r="30" spans="1:14" ht="28.8" x14ac:dyDescent="0.3">
      <c r="A30" s="2" t="s">
        <v>70</v>
      </c>
      <c r="B30" s="2" t="s">
        <v>114</v>
      </c>
      <c r="C30" s="2">
        <v>2200</v>
      </c>
      <c r="D30" s="2" t="s">
        <v>17</v>
      </c>
      <c r="E30" s="2" t="s">
        <v>17</v>
      </c>
      <c r="F30" s="2" t="s">
        <v>158</v>
      </c>
      <c r="G30" s="2" t="s">
        <v>202</v>
      </c>
      <c r="H30" s="2" t="s">
        <v>22</v>
      </c>
      <c r="I30" s="2" t="s">
        <v>246</v>
      </c>
      <c r="J30" s="4">
        <v>1000001001</v>
      </c>
      <c r="K30" s="5">
        <v>45196</v>
      </c>
      <c r="L30" s="2" t="str">
        <f ca="1">IF(Table32[[#This Row],[Sequence Status]]="Replied", Table32[[#This Row],[Sequence Step]],IF(TODAY()-K30&lt;=8,"Step 1",IF(TODAY()-K30&lt;=16,"Step 2",IF(TODAY()-K30&lt;=24,"Step 3",IF(TODAY()-K30&lt;=31,"Step 4",IF(TODAY()-K30&lt;=38,"Step 5",IF(TODAY()-K30&lt;=41,"Step 6","")))))))</f>
        <v/>
      </c>
      <c r="M30" s="2" t="s">
        <v>20</v>
      </c>
      <c r="N30" s="2" t="s">
        <v>16</v>
      </c>
    </row>
    <row r="31" spans="1:14" ht="28.8" x14ac:dyDescent="0.3">
      <c r="A31" s="2" t="s">
        <v>71</v>
      </c>
      <c r="B31" s="2" t="s">
        <v>115</v>
      </c>
      <c r="C31" s="2">
        <v>220</v>
      </c>
      <c r="D31" s="2" t="s">
        <v>17</v>
      </c>
      <c r="E31" s="2" t="s">
        <v>17</v>
      </c>
      <c r="F31" s="2" t="s">
        <v>159</v>
      </c>
      <c r="G31" s="2" t="s">
        <v>203</v>
      </c>
      <c r="H31" s="2" t="s">
        <v>22</v>
      </c>
      <c r="I31" s="2" t="s">
        <v>247</v>
      </c>
      <c r="J31" s="4">
        <v>1000001001</v>
      </c>
      <c r="K31" s="5">
        <v>45196</v>
      </c>
      <c r="L31" s="2" t="str">
        <f ca="1">IF(Table32[[#This Row],[Sequence Status]]="Replied", Table32[[#This Row],[Sequence Step]],IF(TODAY()-K31&lt;=8,"Step 1",IF(TODAY()-K31&lt;=16,"Step 2",IF(TODAY()-K31&lt;=24,"Step 3",IF(TODAY()-K31&lt;=31,"Step 4",IF(TODAY()-K31&lt;=38,"Step 5",IF(TODAY()-K31&lt;=41,"Step 6","")))))))</f>
        <v/>
      </c>
      <c r="M31" s="2" t="s">
        <v>20</v>
      </c>
      <c r="N31" s="2" t="s">
        <v>16</v>
      </c>
    </row>
    <row r="32" spans="1:14" ht="28.8" x14ac:dyDescent="0.3">
      <c r="A32" s="2" t="s">
        <v>72</v>
      </c>
      <c r="B32" s="2" t="s">
        <v>116</v>
      </c>
      <c r="C32" s="2">
        <v>120</v>
      </c>
      <c r="D32" s="2" t="s">
        <v>17</v>
      </c>
      <c r="E32" s="2" t="s">
        <v>17</v>
      </c>
      <c r="F32" s="2" t="s">
        <v>160</v>
      </c>
      <c r="G32" s="2" t="s">
        <v>204</v>
      </c>
      <c r="H32" s="2" t="s">
        <v>22</v>
      </c>
      <c r="I32" s="2" t="s">
        <v>248</v>
      </c>
      <c r="J32" s="4">
        <v>1000001001</v>
      </c>
      <c r="K32" s="5">
        <v>45196</v>
      </c>
      <c r="L32" s="2" t="str">
        <f ca="1">IF(Table32[[#This Row],[Sequence Status]]="Replied", Table32[[#This Row],[Sequence Step]],IF(TODAY()-K32&lt;=8,"Step 1",IF(TODAY()-K32&lt;=16,"Step 2",IF(TODAY()-K32&lt;=24,"Step 3",IF(TODAY()-K32&lt;=31,"Step 4",IF(TODAY()-K32&lt;=38,"Step 5",IF(TODAY()-K32&lt;=41,"Step 6","")))))))</f>
        <v/>
      </c>
      <c r="M32" s="2" t="s">
        <v>20</v>
      </c>
      <c r="N32" s="2" t="s">
        <v>16</v>
      </c>
    </row>
    <row r="33" spans="1:14" ht="72" x14ac:dyDescent="0.3">
      <c r="A33" s="2" t="s">
        <v>73</v>
      </c>
      <c r="B33" s="2" t="s">
        <v>117</v>
      </c>
      <c r="C33" s="2">
        <v>540</v>
      </c>
      <c r="D33" s="2" t="s">
        <v>17</v>
      </c>
      <c r="E33" s="2" t="s">
        <v>17</v>
      </c>
      <c r="F33" s="2" t="s">
        <v>161</v>
      </c>
      <c r="G33" s="2" t="s">
        <v>205</v>
      </c>
      <c r="H33" s="2" t="s">
        <v>27</v>
      </c>
      <c r="I33" s="2" t="s">
        <v>249</v>
      </c>
      <c r="J33" s="4">
        <v>1000001001</v>
      </c>
      <c r="K33" s="5">
        <v>45196</v>
      </c>
      <c r="L33" s="2" t="str">
        <f ca="1">IF(Table32[[#This Row],[Sequence Status]]="Replied", Table32[[#This Row],[Sequence Step]],IF(TODAY()-K33&lt;=8,"Step 1",IF(TODAY()-K33&lt;=16,"Step 2",IF(TODAY()-K33&lt;=24,"Step 3",IF(TODAY()-K33&lt;=31,"Step 4",IF(TODAY()-K33&lt;=38,"Step 5",IF(TODAY()-K33&lt;=41,"Step 6","")))))))</f>
        <v/>
      </c>
      <c r="M33" s="2" t="s">
        <v>20</v>
      </c>
      <c r="N33" s="2" t="s">
        <v>16</v>
      </c>
    </row>
    <row r="34" spans="1:14" ht="28.8" x14ac:dyDescent="0.3">
      <c r="A34" s="2" t="s">
        <v>74</v>
      </c>
      <c r="B34" s="2" t="s">
        <v>118</v>
      </c>
      <c r="C34" s="2">
        <v>360</v>
      </c>
      <c r="D34" s="2" t="s">
        <v>17</v>
      </c>
      <c r="E34" s="2" t="s">
        <v>17</v>
      </c>
      <c r="F34" s="2" t="s">
        <v>162</v>
      </c>
      <c r="G34" s="2" t="s">
        <v>206</v>
      </c>
      <c r="H34" s="2" t="s">
        <v>24</v>
      </c>
      <c r="I34" s="2" t="s">
        <v>250</v>
      </c>
      <c r="J34" s="4">
        <v>1000001001</v>
      </c>
      <c r="K34" s="5">
        <v>45196</v>
      </c>
      <c r="L34" s="2" t="str">
        <f ca="1">IF(Table32[[#This Row],[Sequence Status]]="Replied", Table32[[#This Row],[Sequence Step]],IF(TODAY()-K34&lt;=8,"Step 1",IF(TODAY()-K34&lt;=16,"Step 2",IF(TODAY()-K34&lt;=24,"Step 3",IF(TODAY()-K34&lt;=31,"Step 4",IF(TODAY()-K34&lt;=38,"Step 5",IF(TODAY()-K34&lt;=41,"Step 6","")))))))</f>
        <v/>
      </c>
      <c r="M34" s="2" t="s">
        <v>20</v>
      </c>
      <c r="N34" s="2" t="s">
        <v>16</v>
      </c>
    </row>
    <row r="35" spans="1:14" ht="28.8" x14ac:dyDescent="0.3">
      <c r="A35" s="2" t="s">
        <v>75</v>
      </c>
      <c r="B35" s="2" t="s">
        <v>119</v>
      </c>
      <c r="C35" s="2">
        <v>580</v>
      </c>
      <c r="D35" s="2" t="s">
        <v>17</v>
      </c>
      <c r="E35" s="2" t="s">
        <v>17</v>
      </c>
      <c r="F35" s="2" t="s">
        <v>163</v>
      </c>
      <c r="G35" s="2" t="s">
        <v>207</v>
      </c>
      <c r="H35" s="2" t="s">
        <v>22</v>
      </c>
      <c r="I35" s="2" t="s">
        <v>251</v>
      </c>
      <c r="J35" s="4">
        <v>1000001001</v>
      </c>
      <c r="K35" s="5">
        <v>45196</v>
      </c>
      <c r="L35" s="2" t="str">
        <f ca="1">IF(Table32[[#This Row],[Sequence Status]]="Replied", Table32[[#This Row],[Sequence Step]],IF(TODAY()-K35&lt;=8,"Step 1",IF(TODAY()-K35&lt;=16,"Step 2",IF(TODAY()-K35&lt;=24,"Step 3",IF(TODAY()-K35&lt;=31,"Step 4",IF(TODAY()-K35&lt;=38,"Step 5",IF(TODAY()-K35&lt;=41,"Step 6","")))))))</f>
        <v/>
      </c>
      <c r="M35" s="2" t="s">
        <v>20</v>
      </c>
      <c r="N35" s="2" t="s">
        <v>16</v>
      </c>
    </row>
    <row r="36" spans="1:14" ht="28.8" x14ac:dyDescent="0.3">
      <c r="A36" s="2" t="s">
        <v>76</v>
      </c>
      <c r="B36" s="2" t="s">
        <v>120</v>
      </c>
      <c r="C36" s="2">
        <v>18</v>
      </c>
      <c r="D36" s="2" t="s">
        <v>17</v>
      </c>
      <c r="E36" s="2" t="s">
        <v>17</v>
      </c>
      <c r="F36" s="2" t="s">
        <v>164</v>
      </c>
      <c r="G36" s="2" t="s">
        <v>208</v>
      </c>
      <c r="H36" s="2" t="s">
        <v>23</v>
      </c>
      <c r="I36" s="2" t="s">
        <v>252</v>
      </c>
      <c r="J36" s="4">
        <v>1000001001</v>
      </c>
      <c r="K36" s="5">
        <v>45196</v>
      </c>
      <c r="L36" s="2" t="str">
        <f ca="1">IF(Table32[[#This Row],[Sequence Status]]="Replied", Table32[[#This Row],[Sequence Step]],IF(TODAY()-K36&lt;=8,"Step 1",IF(TODAY()-K36&lt;=16,"Step 2",IF(TODAY()-K36&lt;=24,"Step 3",IF(TODAY()-K36&lt;=31,"Step 4",IF(TODAY()-K36&lt;=38,"Step 5",IF(TODAY()-K36&lt;=41,"Step 6","")))))))</f>
        <v/>
      </c>
      <c r="M36" s="2" t="s">
        <v>20</v>
      </c>
      <c r="N36" s="2" t="s">
        <v>16</v>
      </c>
    </row>
    <row r="37" spans="1:14" ht="28.8" x14ac:dyDescent="0.3">
      <c r="A37" s="2" t="s">
        <v>77</v>
      </c>
      <c r="B37" s="2" t="s">
        <v>121</v>
      </c>
      <c r="C37" s="2">
        <v>310</v>
      </c>
      <c r="D37" s="2" t="s">
        <v>17</v>
      </c>
      <c r="E37" s="2" t="s">
        <v>17</v>
      </c>
      <c r="F37" s="2" t="s">
        <v>165</v>
      </c>
      <c r="G37" s="2" t="s">
        <v>209</v>
      </c>
      <c r="H37" s="2" t="s">
        <v>22</v>
      </c>
      <c r="I37" s="2" t="s">
        <v>253</v>
      </c>
      <c r="J37" s="4">
        <v>1000001001</v>
      </c>
      <c r="K37" s="5">
        <v>45196</v>
      </c>
      <c r="L37" s="2" t="str">
        <f ca="1">IF(Table32[[#This Row],[Sequence Status]]="Replied", Table32[[#This Row],[Sequence Step]],IF(TODAY()-K37&lt;=8,"Step 1",IF(TODAY()-K37&lt;=16,"Step 2",IF(TODAY()-K37&lt;=24,"Step 3",IF(TODAY()-K37&lt;=31,"Step 4",IF(TODAY()-K37&lt;=38,"Step 5",IF(TODAY()-K37&lt;=41,"Step 6","")))))))</f>
        <v/>
      </c>
      <c r="M37" s="2" t="s">
        <v>20</v>
      </c>
      <c r="N37" s="2" t="s">
        <v>16</v>
      </c>
    </row>
    <row r="38" spans="1:14" ht="72" x14ac:dyDescent="0.3">
      <c r="A38" s="2" t="s">
        <v>78</v>
      </c>
      <c r="B38" s="2" t="s">
        <v>122</v>
      </c>
      <c r="C38" s="2">
        <v>1200</v>
      </c>
      <c r="D38" s="2" t="s">
        <v>17</v>
      </c>
      <c r="E38" s="2" t="s">
        <v>17</v>
      </c>
      <c r="F38" s="2" t="s">
        <v>166</v>
      </c>
      <c r="G38" s="2" t="s">
        <v>210</v>
      </c>
      <c r="H38" s="2" t="s">
        <v>39</v>
      </c>
      <c r="I38" s="2" t="s">
        <v>254</v>
      </c>
      <c r="J38" s="4">
        <v>1000001001</v>
      </c>
      <c r="K38" s="5">
        <v>45196</v>
      </c>
      <c r="L38" s="2" t="str">
        <f ca="1">IF(Table32[[#This Row],[Sequence Status]]="Replied", Table32[[#This Row],[Sequence Step]],IF(TODAY()-K38&lt;=8,"Step 1",IF(TODAY()-K38&lt;=16,"Step 2",IF(TODAY()-K38&lt;=24,"Step 3",IF(TODAY()-K38&lt;=31,"Step 4",IF(TODAY()-K38&lt;=38,"Step 5",IF(TODAY()-K38&lt;=41,"Step 6","")))))))</f>
        <v/>
      </c>
      <c r="M38" s="2" t="s">
        <v>20</v>
      </c>
      <c r="N38" s="2" t="s">
        <v>16</v>
      </c>
    </row>
    <row r="39" spans="1:14" ht="28.8" x14ac:dyDescent="0.3">
      <c r="A39" s="2" t="s">
        <v>79</v>
      </c>
      <c r="B39" s="2" t="s">
        <v>123</v>
      </c>
      <c r="C39" s="2">
        <v>470</v>
      </c>
      <c r="D39" s="2" t="s">
        <v>17</v>
      </c>
      <c r="E39" s="2" t="s">
        <v>17</v>
      </c>
      <c r="F39" s="2" t="s">
        <v>167</v>
      </c>
      <c r="G39" s="2" t="s">
        <v>211</v>
      </c>
      <c r="H39" s="2" t="s">
        <v>24</v>
      </c>
      <c r="I39" s="2" t="s">
        <v>255</v>
      </c>
      <c r="J39" s="4">
        <v>1000001001</v>
      </c>
      <c r="K39" s="5">
        <v>45196</v>
      </c>
      <c r="L39" s="2" t="str">
        <f ca="1">IF(Table32[[#This Row],[Sequence Status]]="Replied", Table32[[#This Row],[Sequence Step]],IF(TODAY()-K39&lt;=8,"Step 1",IF(TODAY()-K39&lt;=16,"Step 2",IF(TODAY()-K39&lt;=24,"Step 3",IF(TODAY()-K39&lt;=31,"Step 4",IF(TODAY()-K39&lt;=38,"Step 5",IF(TODAY()-K39&lt;=41,"Step 6","")))))))</f>
        <v/>
      </c>
      <c r="M39" s="2" t="s">
        <v>20</v>
      </c>
      <c r="N39" s="2" t="s">
        <v>16</v>
      </c>
    </row>
    <row r="40" spans="1:14" ht="28.8" x14ac:dyDescent="0.3">
      <c r="A40" s="2" t="s">
        <v>80</v>
      </c>
      <c r="B40" s="2" t="s">
        <v>124</v>
      </c>
      <c r="C40" s="2">
        <v>630</v>
      </c>
      <c r="D40" s="2" t="s">
        <v>17</v>
      </c>
      <c r="E40" s="2" t="s">
        <v>17</v>
      </c>
      <c r="F40" s="2" t="s">
        <v>168</v>
      </c>
      <c r="G40" s="2" t="s">
        <v>212</v>
      </c>
      <c r="H40" s="2" t="s">
        <v>21</v>
      </c>
      <c r="I40" s="2" t="s">
        <v>256</v>
      </c>
      <c r="J40" s="4">
        <v>1000001001</v>
      </c>
      <c r="K40" s="5">
        <v>45196</v>
      </c>
      <c r="L40" s="2" t="str">
        <f ca="1">IF(Table32[[#This Row],[Sequence Status]]="Replied", Table32[[#This Row],[Sequence Step]],IF(TODAY()-K40&lt;=8,"Step 1",IF(TODAY()-K40&lt;=16,"Step 2",IF(TODAY()-K40&lt;=24,"Step 3",IF(TODAY()-K40&lt;=31,"Step 4",IF(TODAY()-K40&lt;=38,"Step 5",IF(TODAY()-K40&lt;=41,"Step 6","")))))))</f>
        <v/>
      </c>
      <c r="M40" s="2" t="s">
        <v>20</v>
      </c>
      <c r="N40" s="2" t="s">
        <v>16</v>
      </c>
    </row>
    <row r="41" spans="1:14" ht="28.8" x14ac:dyDescent="0.3">
      <c r="A41" s="2" t="s">
        <v>81</v>
      </c>
      <c r="B41" s="2" t="s">
        <v>125</v>
      </c>
      <c r="C41" s="2">
        <v>5900</v>
      </c>
      <c r="D41" s="2" t="s">
        <v>17</v>
      </c>
      <c r="E41" s="2" t="s">
        <v>17</v>
      </c>
      <c r="F41" s="2" t="s">
        <v>169</v>
      </c>
      <c r="G41" s="2" t="s">
        <v>213</v>
      </c>
      <c r="H41" s="2" t="s">
        <v>31</v>
      </c>
      <c r="I41" s="2" t="s">
        <v>257</v>
      </c>
      <c r="J41" s="4">
        <v>1000001001</v>
      </c>
      <c r="K41" s="5">
        <v>45196</v>
      </c>
      <c r="L41" s="2" t="str">
        <f ca="1">IF(Table32[[#This Row],[Sequence Status]]="Replied", Table32[[#This Row],[Sequence Step]],IF(TODAY()-K41&lt;=8,"Step 1",IF(TODAY()-K41&lt;=16,"Step 2",IF(TODAY()-K41&lt;=24,"Step 3",IF(TODAY()-K41&lt;=31,"Step 4",IF(TODAY()-K41&lt;=38,"Step 5",IF(TODAY()-K41&lt;=41,"Step 6","")))))))</f>
        <v/>
      </c>
      <c r="M41" s="2" t="s">
        <v>20</v>
      </c>
      <c r="N41" s="2" t="s">
        <v>16</v>
      </c>
    </row>
    <row r="42" spans="1:14" ht="28.8" x14ac:dyDescent="0.3">
      <c r="A42" s="2" t="s">
        <v>82</v>
      </c>
      <c r="B42" s="2" t="s">
        <v>126</v>
      </c>
      <c r="C42" s="2">
        <v>160</v>
      </c>
      <c r="D42" s="2" t="s">
        <v>17</v>
      </c>
      <c r="E42" s="2" t="s">
        <v>17</v>
      </c>
      <c r="F42" s="2" t="s">
        <v>170</v>
      </c>
      <c r="G42" s="2" t="s">
        <v>214</v>
      </c>
      <c r="H42" s="2" t="s">
        <v>40</v>
      </c>
      <c r="I42" s="2" t="s">
        <v>258</v>
      </c>
      <c r="J42" s="4">
        <v>1000001001</v>
      </c>
      <c r="K42" s="5">
        <v>45196</v>
      </c>
      <c r="L42" s="2" t="str">
        <f ca="1">IF(Table32[[#This Row],[Sequence Status]]="Replied", Table32[[#This Row],[Sequence Step]],IF(TODAY()-K42&lt;=8,"Step 1",IF(TODAY()-K42&lt;=16,"Step 2",IF(TODAY()-K42&lt;=24,"Step 3",IF(TODAY()-K42&lt;=31,"Step 4",IF(TODAY()-K42&lt;=38,"Step 5",IF(TODAY()-K42&lt;=41,"Step 6","")))))))</f>
        <v/>
      </c>
      <c r="M42" s="2" t="s">
        <v>20</v>
      </c>
      <c r="N42" s="2" t="s">
        <v>16</v>
      </c>
    </row>
    <row r="43" spans="1:14" ht="28.8" x14ac:dyDescent="0.3">
      <c r="A43" s="2" t="s">
        <v>83</v>
      </c>
      <c r="B43" s="2" t="s">
        <v>127</v>
      </c>
      <c r="C43" s="2">
        <v>160</v>
      </c>
      <c r="D43" s="2" t="s">
        <v>17</v>
      </c>
      <c r="E43" s="2" t="s">
        <v>17</v>
      </c>
      <c r="F43" s="2" t="s">
        <v>171</v>
      </c>
      <c r="G43" s="2" t="s">
        <v>215</v>
      </c>
      <c r="H43" s="2" t="s">
        <v>38</v>
      </c>
      <c r="I43" s="2" t="s">
        <v>259</v>
      </c>
      <c r="J43" s="4">
        <v>1000001001</v>
      </c>
      <c r="K43" s="5">
        <v>45196</v>
      </c>
      <c r="L43" s="2" t="str">
        <f ca="1">IF(Table32[[#This Row],[Sequence Status]]="Replied", Table32[[#This Row],[Sequence Step]],IF(TODAY()-K43&lt;=8,"Step 1",IF(TODAY()-K43&lt;=16,"Step 2",IF(TODAY()-K43&lt;=24,"Step 3",IF(TODAY()-K43&lt;=31,"Step 4",IF(TODAY()-K43&lt;=38,"Step 5",IF(TODAY()-K43&lt;=41,"Step 6","")))))))</f>
        <v/>
      </c>
      <c r="M43" s="2" t="s">
        <v>20</v>
      </c>
      <c r="N43" s="2" t="s">
        <v>16</v>
      </c>
    </row>
    <row r="44" spans="1:14" ht="57.6" x14ac:dyDescent="0.3">
      <c r="A44" s="2" t="s">
        <v>84</v>
      </c>
      <c r="B44" s="2" t="s">
        <v>128</v>
      </c>
      <c r="C44" s="2">
        <v>200</v>
      </c>
      <c r="D44" s="2" t="s">
        <v>17</v>
      </c>
      <c r="E44" s="2" t="s">
        <v>17</v>
      </c>
      <c r="F44" s="2" t="s">
        <v>172</v>
      </c>
      <c r="G44" s="2" t="s">
        <v>216</v>
      </c>
      <c r="H44" s="2" t="s">
        <v>41</v>
      </c>
      <c r="I44" s="2" t="s">
        <v>260</v>
      </c>
      <c r="J44" s="4">
        <v>1000001001</v>
      </c>
      <c r="K44" s="5">
        <v>45196</v>
      </c>
      <c r="L44" s="2" t="str">
        <f ca="1">IF(Table32[[#This Row],[Sequence Status]]="Replied", Table32[[#This Row],[Sequence Step]],IF(TODAY()-K44&lt;=8,"Step 1",IF(TODAY()-K44&lt;=16,"Step 2",IF(TODAY()-K44&lt;=24,"Step 3",IF(TODAY()-K44&lt;=31,"Step 4",IF(TODAY()-K44&lt;=38,"Step 5",IF(TODAY()-K44&lt;=41,"Step 6","")))))))</f>
        <v/>
      </c>
      <c r="M44" s="2" t="s">
        <v>20</v>
      </c>
      <c r="N44" s="2" t="s">
        <v>16</v>
      </c>
    </row>
    <row r="45" spans="1:14" ht="28.8" x14ac:dyDescent="0.3">
      <c r="A45" s="2" t="s">
        <v>85</v>
      </c>
      <c r="B45" s="2" t="s">
        <v>129</v>
      </c>
      <c r="C45" s="2">
        <v>350</v>
      </c>
      <c r="D45" s="2" t="s">
        <v>17</v>
      </c>
      <c r="E45" s="2" t="s">
        <v>17</v>
      </c>
      <c r="F45" s="2" t="s">
        <v>173</v>
      </c>
      <c r="G45" s="2" t="s">
        <v>217</v>
      </c>
      <c r="H45" s="2" t="s">
        <v>24</v>
      </c>
      <c r="I45" s="2" t="s">
        <v>261</v>
      </c>
      <c r="J45" s="4">
        <v>1000001001</v>
      </c>
      <c r="K45" s="5">
        <v>45196</v>
      </c>
      <c r="L45" s="2" t="str">
        <f ca="1">IF(Table32[[#This Row],[Sequence Status]]="Replied", Table32[[#This Row],[Sequence Step]],IF(TODAY()-K45&lt;=8,"Step 1",IF(TODAY()-K45&lt;=16,"Step 2",IF(TODAY()-K45&lt;=24,"Step 3",IF(TODAY()-K45&lt;=31,"Step 4",IF(TODAY()-K45&lt;=38,"Step 5",IF(TODAY()-K45&lt;=41,"Step 6","")))))))</f>
        <v/>
      </c>
      <c r="M45" s="2" t="s">
        <v>20</v>
      </c>
      <c r="N45" s="2" t="s">
        <v>16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7600B-A018-4230-950B-A487F2AE4C89}">
  <sheetPr codeName="Sheet6"/>
  <dimension ref="A1:N45"/>
  <sheetViews>
    <sheetView workbookViewId="0">
      <selection sqref="A1:N45"/>
    </sheetView>
  </sheetViews>
  <sheetFormatPr defaultRowHeight="14.4" x14ac:dyDescent="0.3"/>
  <sheetData>
    <row r="1" spans="1:14" x14ac:dyDescent="0.3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3" t="s">
        <v>12</v>
      </c>
      <c r="K1" s="6" t="s">
        <v>18</v>
      </c>
      <c r="L1" s="6" t="s">
        <v>13</v>
      </c>
      <c r="M1" s="6" t="s">
        <v>14</v>
      </c>
      <c r="N1" s="1" t="s">
        <v>15</v>
      </c>
    </row>
    <row r="2" spans="1:14" ht="28.8" x14ac:dyDescent="0.3">
      <c r="A2" s="2" t="s">
        <v>42</v>
      </c>
      <c r="B2" s="2" t="s">
        <v>86</v>
      </c>
      <c r="C2" s="2">
        <v>130</v>
      </c>
      <c r="D2" s="2" t="s">
        <v>17</v>
      </c>
      <c r="E2" s="2" t="s">
        <v>17</v>
      </c>
      <c r="F2" s="2" t="s">
        <v>130</v>
      </c>
      <c r="G2" s="2" t="s">
        <v>174</v>
      </c>
      <c r="H2" s="2" t="s">
        <v>28</v>
      </c>
      <c r="I2" s="2" t="s">
        <v>218</v>
      </c>
      <c r="J2" s="4">
        <v>1000001001</v>
      </c>
      <c r="K2" s="5">
        <v>45196</v>
      </c>
      <c r="L2" s="2" t="str">
        <f ca="1">IF(Table323[[#This Row],[Sequence Status]]="Replied", Table323[[#This Row],[Sequence Step]],IF(TODAY()-K2&lt;=8,"Step 1",IF(TODAY()-K2&lt;=16,"Step 2",IF(TODAY()-K2&lt;=24,"Step 3",IF(TODAY()-K2&lt;=31,"Step 4",IF(TODAY()-K2&lt;=38,"Step 5",IF(TODAY()-K2&lt;=41,"Step 6","")))))))</f>
        <v/>
      </c>
      <c r="M2" s="2" t="s">
        <v>20</v>
      </c>
      <c r="N2" s="2" t="s">
        <v>16</v>
      </c>
    </row>
    <row r="3" spans="1:14" ht="28.8" x14ac:dyDescent="0.3">
      <c r="A3" s="2" t="s">
        <v>43</v>
      </c>
      <c r="B3" s="2" t="s">
        <v>87</v>
      </c>
      <c r="C3" s="2">
        <v>21</v>
      </c>
      <c r="D3" s="2" t="s">
        <v>17</v>
      </c>
      <c r="E3" s="2" t="s">
        <v>17</v>
      </c>
      <c r="F3" s="2" t="s">
        <v>131</v>
      </c>
      <c r="G3" s="2" t="s">
        <v>175</v>
      </c>
      <c r="H3" s="2" t="s">
        <v>19</v>
      </c>
      <c r="I3" s="2" t="s">
        <v>219</v>
      </c>
      <c r="J3" s="4">
        <v>1000001001</v>
      </c>
      <c r="K3" s="5">
        <v>45196</v>
      </c>
      <c r="L3" s="2" t="str">
        <f ca="1">IF(Table323[[#This Row],[Sequence Status]]="Replied", Table323[[#This Row],[Sequence Step]],IF(TODAY()-K3&lt;=8,"Step 1",IF(TODAY()-K3&lt;=16,"Step 2",IF(TODAY()-K3&lt;=24,"Step 3",IF(TODAY()-K3&lt;=31,"Step 4",IF(TODAY()-K3&lt;=38,"Step 5",IF(TODAY()-K3&lt;=41,"Step 6","")))))))</f>
        <v/>
      </c>
      <c r="M3" s="2" t="s">
        <v>20</v>
      </c>
      <c r="N3" s="2" t="s">
        <v>16</v>
      </c>
    </row>
    <row r="4" spans="1:14" ht="43.2" x14ac:dyDescent="0.3">
      <c r="A4" s="2" t="s">
        <v>44</v>
      </c>
      <c r="B4" s="2" t="s">
        <v>88</v>
      </c>
      <c r="C4" s="2">
        <v>289000</v>
      </c>
      <c r="D4" s="2" t="s">
        <v>17</v>
      </c>
      <c r="E4" s="2" t="s">
        <v>17</v>
      </c>
      <c r="F4" s="2" t="s">
        <v>132</v>
      </c>
      <c r="G4" s="2" t="s">
        <v>176</v>
      </c>
      <c r="H4" s="2" t="s">
        <v>26</v>
      </c>
      <c r="I4" s="2" t="s">
        <v>220</v>
      </c>
      <c r="J4" s="4">
        <v>1000001001</v>
      </c>
      <c r="K4" s="5">
        <v>45196</v>
      </c>
      <c r="L4" s="2" t="str">
        <f ca="1">IF(Table323[[#This Row],[Sequence Status]]="Replied", Table323[[#This Row],[Sequence Step]],IF(TODAY()-K4&lt;=8,"Step 1",IF(TODAY()-K4&lt;=16,"Step 2",IF(TODAY()-K4&lt;=24,"Step 3",IF(TODAY()-K4&lt;=31,"Step 4",IF(TODAY()-K4&lt;=38,"Step 5",IF(TODAY()-K4&lt;=41,"Step 6","")))))))</f>
        <v/>
      </c>
      <c r="M4" s="2" t="s">
        <v>20</v>
      </c>
      <c r="N4" s="2" t="s">
        <v>16</v>
      </c>
    </row>
    <row r="5" spans="1:14" ht="28.8" x14ac:dyDescent="0.3">
      <c r="A5" s="2" t="s">
        <v>45</v>
      </c>
      <c r="B5" s="2" t="s">
        <v>89</v>
      </c>
      <c r="C5" s="2">
        <v>140</v>
      </c>
      <c r="D5" s="2" t="s">
        <v>17</v>
      </c>
      <c r="E5" s="2" t="s">
        <v>17</v>
      </c>
      <c r="F5" s="2" t="s">
        <v>133</v>
      </c>
      <c r="G5" s="2" t="s">
        <v>177</v>
      </c>
      <c r="H5" s="2" t="s">
        <v>28</v>
      </c>
      <c r="I5" s="2" t="s">
        <v>221</v>
      </c>
      <c r="J5" s="4">
        <v>1000001001</v>
      </c>
      <c r="K5" s="5">
        <v>45196</v>
      </c>
      <c r="L5" s="2" t="str">
        <f ca="1">IF(Table323[[#This Row],[Sequence Status]]="Replied", Table323[[#This Row],[Sequence Step]],IF(TODAY()-K5&lt;=8,"Step 1",IF(TODAY()-K5&lt;=16,"Step 2",IF(TODAY()-K5&lt;=24,"Step 3",IF(TODAY()-K5&lt;=31,"Step 4",IF(TODAY()-K5&lt;=38,"Step 5",IF(TODAY()-K5&lt;=41,"Step 6","")))))))</f>
        <v/>
      </c>
      <c r="M5" s="2" t="s">
        <v>20</v>
      </c>
      <c r="N5" s="2" t="s">
        <v>16</v>
      </c>
    </row>
    <row r="6" spans="1:14" ht="72" x14ac:dyDescent="0.3">
      <c r="A6" s="2" t="s">
        <v>46</v>
      </c>
      <c r="B6" s="2" t="s">
        <v>90</v>
      </c>
      <c r="C6" s="2">
        <v>300</v>
      </c>
      <c r="D6" s="2" t="s">
        <v>17</v>
      </c>
      <c r="E6" s="2" t="s">
        <v>17</v>
      </c>
      <c r="F6" s="2" t="s">
        <v>134</v>
      </c>
      <c r="G6" s="2" t="s">
        <v>178</v>
      </c>
      <c r="H6" s="2" t="s">
        <v>29</v>
      </c>
      <c r="I6" s="2" t="s">
        <v>222</v>
      </c>
      <c r="J6" s="4">
        <v>1000001001</v>
      </c>
      <c r="K6" s="5">
        <v>45196</v>
      </c>
      <c r="L6" s="2" t="str">
        <f ca="1">IF(Table323[[#This Row],[Sequence Status]]="Replied", Table323[[#This Row],[Sequence Step]],IF(TODAY()-K6&lt;=8,"Step 1",IF(TODAY()-K6&lt;=16,"Step 2",IF(TODAY()-K6&lt;=24,"Step 3",IF(TODAY()-K6&lt;=31,"Step 4",IF(TODAY()-K6&lt;=38,"Step 5",IF(TODAY()-K6&lt;=41,"Step 6","")))))))</f>
        <v/>
      </c>
      <c r="M6" s="2" t="s">
        <v>20</v>
      </c>
      <c r="N6" s="2" t="s">
        <v>16</v>
      </c>
    </row>
    <row r="7" spans="1:14" ht="28.8" x14ac:dyDescent="0.3">
      <c r="A7" s="2" t="s">
        <v>47</v>
      </c>
      <c r="B7" s="2" t="s">
        <v>91</v>
      </c>
      <c r="C7" s="2">
        <v>550</v>
      </c>
      <c r="D7" s="2" t="s">
        <v>17</v>
      </c>
      <c r="E7" s="2" t="s">
        <v>17</v>
      </c>
      <c r="F7" s="2" t="s">
        <v>135</v>
      </c>
      <c r="G7" s="2" t="s">
        <v>179</v>
      </c>
      <c r="H7" s="2" t="s">
        <v>30</v>
      </c>
      <c r="I7" s="2" t="s">
        <v>223</v>
      </c>
      <c r="J7" s="4">
        <v>1000001001</v>
      </c>
      <c r="K7" s="5">
        <v>45196</v>
      </c>
      <c r="L7" s="2" t="str">
        <f ca="1">IF(Table323[[#This Row],[Sequence Status]]="Replied", Table323[[#This Row],[Sequence Step]],IF(TODAY()-K7&lt;=8,"Step 1",IF(TODAY()-K7&lt;=16,"Step 2",IF(TODAY()-K7&lt;=24,"Step 3",IF(TODAY()-K7&lt;=31,"Step 4",IF(TODAY()-K7&lt;=38,"Step 5",IF(TODAY()-K7&lt;=41,"Step 6","")))))))</f>
        <v/>
      </c>
      <c r="M7" s="2" t="s">
        <v>20</v>
      </c>
      <c r="N7" s="2" t="s">
        <v>16</v>
      </c>
    </row>
    <row r="8" spans="1:14" ht="28.8" x14ac:dyDescent="0.3">
      <c r="A8" s="2" t="s">
        <v>48</v>
      </c>
      <c r="B8" s="2" t="s">
        <v>92</v>
      </c>
      <c r="C8" s="2">
        <v>130</v>
      </c>
      <c r="D8" s="2" t="s">
        <v>17</v>
      </c>
      <c r="E8" s="2" t="s">
        <v>17</v>
      </c>
      <c r="F8" s="2" t="s">
        <v>136</v>
      </c>
      <c r="G8" s="2" t="s">
        <v>180</v>
      </c>
      <c r="H8" s="2" t="s">
        <v>19</v>
      </c>
      <c r="I8" s="2" t="s">
        <v>224</v>
      </c>
      <c r="J8" s="4">
        <v>1000001001</v>
      </c>
      <c r="K8" s="5">
        <v>45196</v>
      </c>
      <c r="L8" s="2" t="str">
        <f ca="1">IF(Table323[[#This Row],[Sequence Status]]="Replied", Table323[[#This Row],[Sequence Step]],IF(TODAY()-K8&lt;=8,"Step 1",IF(TODAY()-K8&lt;=16,"Step 2",IF(TODAY()-K8&lt;=24,"Step 3",IF(TODAY()-K8&lt;=31,"Step 4",IF(TODAY()-K8&lt;=38,"Step 5",IF(TODAY()-K8&lt;=41,"Step 6","")))))))</f>
        <v/>
      </c>
      <c r="M8" s="2" t="s">
        <v>20</v>
      </c>
      <c r="N8" s="2" t="s">
        <v>16</v>
      </c>
    </row>
    <row r="9" spans="1:14" ht="28.8" x14ac:dyDescent="0.3">
      <c r="A9" s="2" t="s">
        <v>49</v>
      </c>
      <c r="B9" s="2" t="s">
        <v>93</v>
      </c>
      <c r="C9" s="2">
        <v>190</v>
      </c>
      <c r="D9" s="2" t="s">
        <v>17</v>
      </c>
      <c r="E9" s="2" t="s">
        <v>17</v>
      </c>
      <c r="F9" s="2" t="s">
        <v>137</v>
      </c>
      <c r="G9" s="2" t="s">
        <v>181</v>
      </c>
      <c r="H9" s="2" t="s">
        <v>28</v>
      </c>
      <c r="I9" s="2" t="s">
        <v>225</v>
      </c>
      <c r="J9" s="4">
        <v>1000001001</v>
      </c>
      <c r="K9" s="5">
        <v>45196</v>
      </c>
      <c r="L9" s="2" t="str">
        <f ca="1">IF(Table323[[#This Row],[Sequence Status]]="Replied", Table323[[#This Row],[Sequence Step]],IF(TODAY()-K9&lt;=8,"Step 1",IF(TODAY()-K9&lt;=16,"Step 2",IF(TODAY()-K9&lt;=24,"Step 3",IF(TODAY()-K9&lt;=31,"Step 4",IF(TODAY()-K9&lt;=38,"Step 5",IF(TODAY()-K9&lt;=41,"Step 6","")))))))</f>
        <v/>
      </c>
      <c r="M9" s="2" t="s">
        <v>20</v>
      </c>
      <c r="N9" s="2" t="s">
        <v>16</v>
      </c>
    </row>
    <row r="10" spans="1:14" ht="28.8" x14ac:dyDescent="0.3">
      <c r="A10" s="2" t="s">
        <v>50</v>
      </c>
      <c r="B10" s="2" t="s">
        <v>94</v>
      </c>
      <c r="C10" s="2">
        <v>1100</v>
      </c>
      <c r="D10" s="2" t="s">
        <v>17</v>
      </c>
      <c r="E10" s="2" t="s">
        <v>17</v>
      </c>
      <c r="F10" s="2" t="s">
        <v>138</v>
      </c>
      <c r="G10" s="2" t="s">
        <v>182</v>
      </c>
      <c r="H10" s="2" t="s">
        <v>22</v>
      </c>
      <c r="I10" s="2" t="s">
        <v>226</v>
      </c>
      <c r="J10" s="4">
        <v>1000001001</v>
      </c>
      <c r="K10" s="5">
        <v>45196</v>
      </c>
      <c r="L10" s="2" t="str">
        <f ca="1">IF(Table323[[#This Row],[Sequence Status]]="Replied", Table323[[#This Row],[Sequence Step]],IF(TODAY()-K10&lt;=8,"Step 1",IF(TODAY()-K10&lt;=16,"Step 2",IF(TODAY()-K10&lt;=24,"Step 3",IF(TODAY()-K10&lt;=31,"Step 4",IF(TODAY()-K10&lt;=38,"Step 5",IF(TODAY()-K10&lt;=41,"Step 6","")))))))</f>
        <v/>
      </c>
      <c r="M10" s="2" t="s">
        <v>20</v>
      </c>
      <c r="N10" s="2" t="s">
        <v>16</v>
      </c>
    </row>
    <row r="11" spans="1:14" ht="28.8" x14ac:dyDescent="0.3">
      <c r="A11" s="2" t="s">
        <v>51</v>
      </c>
      <c r="B11" s="2" t="s">
        <v>95</v>
      </c>
      <c r="C11" s="2">
        <v>25000</v>
      </c>
      <c r="D11" s="2" t="s">
        <v>17</v>
      </c>
      <c r="E11" s="2" t="s">
        <v>17</v>
      </c>
      <c r="F11" s="2" t="s">
        <v>139</v>
      </c>
      <c r="G11" s="2" t="s">
        <v>183</v>
      </c>
      <c r="H11" s="2" t="s">
        <v>24</v>
      </c>
      <c r="I11" s="2" t="s">
        <v>227</v>
      </c>
      <c r="J11" s="4">
        <v>1000001001</v>
      </c>
      <c r="K11" s="5">
        <v>45196</v>
      </c>
      <c r="L11" s="2" t="str">
        <f ca="1">IF(Table323[[#This Row],[Sequence Status]]="Replied", Table323[[#This Row],[Sequence Step]],IF(TODAY()-K11&lt;=8,"Step 1",IF(TODAY()-K11&lt;=16,"Step 2",IF(TODAY()-K11&lt;=24,"Step 3",IF(TODAY()-K11&lt;=31,"Step 4",IF(TODAY()-K11&lt;=38,"Step 5",IF(TODAY()-K11&lt;=41,"Step 6","")))))))</f>
        <v/>
      </c>
      <c r="M11" s="2" t="s">
        <v>20</v>
      </c>
      <c r="N11" s="2" t="s">
        <v>16</v>
      </c>
    </row>
    <row r="12" spans="1:14" ht="28.8" x14ac:dyDescent="0.3">
      <c r="A12" s="2" t="s">
        <v>52</v>
      </c>
      <c r="B12" s="2" t="s">
        <v>96</v>
      </c>
      <c r="C12" s="2">
        <v>250</v>
      </c>
      <c r="D12" s="2" t="s">
        <v>17</v>
      </c>
      <c r="E12" s="2" t="s">
        <v>17</v>
      </c>
      <c r="F12" s="2" t="s">
        <v>140</v>
      </c>
      <c r="G12" s="2" t="s">
        <v>184</v>
      </c>
      <c r="H12" s="2" t="s">
        <v>21</v>
      </c>
      <c r="I12" s="2" t="s">
        <v>228</v>
      </c>
      <c r="J12" s="4">
        <v>1000001001</v>
      </c>
      <c r="K12" s="5">
        <v>45196</v>
      </c>
      <c r="L12" s="2" t="str">
        <f ca="1">IF(Table323[[#This Row],[Sequence Status]]="Replied", Table323[[#This Row],[Sequence Step]],IF(TODAY()-K12&lt;=8,"Step 1",IF(TODAY()-K12&lt;=16,"Step 2",IF(TODAY()-K12&lt;=24,"Step 3",IF(TODAY()-K12&lt;=31,"Step 4",IF(TODAY()-K12&lt;=38,"Step 5",IF(TODAY()-K12&lt;=41,"Step 6","")))))))</f>
        <v/>
      </c>
      <c r="M12" s="2" t="s">
        <v>20</v>
      </c>
      <c r="N12" s="2" t="s">
        <v>16</v>
      </c>
    </row>
    <row r="13" spans="1:14" ht="28.8" x14ac:dyDescent="0.3">
      <c r="A13" s="2" t="s">
        <v>53</v>
      </c>
      <c r="B13" s="2" t="s">
        <v>97</v>
      </c>
      <c r="C13" s="2">
        <v>300</v>
      </c>
      <c r="D13" s="2" t="s">
        <v>17</v>
      </c>
      <c r="E13" s="2" t="s">
        <v>17</v>
      </c>
      <c r="F13" s="2" t="s">
        <v>141</v>
      </c>
      <c r="G13" s="2" t="s">
        <v>185</v>
      </c>
      <c r="H13" s="2" t="s">
        <v>21</v>
      </c>
      <c r="I13" s="2" t="s">
        <v>229</v>
      </c>
      <c r="J13" s="4">
        <v>1000001001</v>
      </c>
      <c r="K13" s="5">
        <v>45196</v>
      </c>
      <c r="L13" s="2" t="str">
        <f ca="1">IF(Table323[[#This Row],[Sequence Status]]="Replied", Table323[[#This Row],[Sequence Step]],IF(TODAY()-K13&lt;=8,"Step 1",IF(TODAY()-K13&lt;=16,"Step 2",IF(TODAY()-K13&lt;=24,"Step 3",IF(TODAY()-K13&lt;=31,"Step 4",IF(TODAY()-K13&lt;=38,"Step 5",IF(TODAY()-K13&lt;=41,"Step 6","")))))))</f>
        <v/>
      </c>
      <c r="M13" s="2" t="s">
        <v>20</v>
      </c>
      <c r="N13" s="2" t="s">
        <v>16</v>
      </c>
    </row>
    <row r="14" spans="1:14" ht="28.8" x14ac:dyDescent="0.3">
      <c r="A14" s="2" t="s">
        <v>54</v>
      </c>
      <c r="B14" s="2" t="s">
        <v>98</v>
      </c>
      <c r="C14" s="2">
        <v>62000</v>
      </c>
      <c r="D14" s="2" t="s">
        <v>17</v>
      </c>
      <c r="E14" s="2" t="s">
        <v>17</v>
      </c>
      <c r="F14" s="2" t="s">
        <v>142</v>
      </c>
      <c r="G14" s="2" t="s">
        <v>186</v>
      </c>
      <c r="H14" s="2" t="s">
        <v>31</v>
      </c>
      <c r="I14" s="2" t="s">
        <v>230</v>
      </c>
      <c r="J14" s="4">
        <v>1000001001</v>
      </c>
      <c r="K14" s="5">
        <v>45196</v>
      </c>
      <c r="L14" s="2" t="str">
        <f ca="1">IF(Table323[[#This Row],[Sequence Status]]="Replied", Table323[[#This Row],[Sequence Step]],IF(TODAY()-K14&lt;=8,"Step 1",IF(TODAY()-K14&lt;=16,"Step 2",IF(TODAY()-K14&lt;=24,"Step 3",IF(TODAY()-K14&lt;=31,"Step 4",IF(TODAY()-K14&lt;=38,"Step 5",IF(TODAY()-K14&lt;=41,"Step 6","")))))))</f>
        <v/>
      </c>
      <c r="M14" s="2" t="s">
        <v>20</v>
      </c>
      <c r="N14" s="2" t="s">
        <v>16</v>
      </c>
    </row>
    <row r="15" spans="1:14" ht="28.8" x14ac:dyDescent="0.3">
      <c r="A15" s="2" t="s">
        <v>55</v>
      </c>
      <c r="B15" s="2" t="s">
        <v>99</v>
      </c>
      <c r="C15" s="2">
        <v>1400</v>
      </c>
      <c r="D15" s="2" t="s">
        <v>17</v>
      </c>
      <c r="E15" s="2" t="s">
        <v>17</v>
      </c>
      <c r="F15" s="2" t="s">
        <v>143</v>
      </c>
      <c r="G15" s="2" t="s">
        <v>187</v>
      </c>
      <c r="H15" s="2" t="s">
        <v>24</v>
      </c>
      <c r="I15" s="2" t="s">
        <v>231</v>
      </c>
      <c r="J15" s="4">
        <v>1000001001</v>
      </c>
      <c r="K15" s="5">
        <v>45196</v>
      </c>
      <c r="L15" s="2" t="str">
        <f ca="1">IF(Table323[[#This Row],[Sequence Status]]="Replied", Table323[[#This Row],[Sequence Step]],IF(TODAY()-K15&lt;=8,"Step 1",IF(TODAY()-K15&lt;=16,"Step 2",IF(TODAY()-K15&lt;=24,"Step 3",IF(TODAY()-K15&lt;=31,"Step 4",IF(TODAY()-K15&lt;=38,"Step 5",IF(TODAY()-K15&lt;=41,"Step 6","")))))))</f>
        <v/>
      </c>
      <c r="M15" s="2" t="s">
        <v>20</v>
      </c>
      <c r="N15" s="2" t="s">
        <v>16</v>
      </c>
    </row>
    <row r="16" spans="1:14" ht="28.8" x14ac:dyDescent="0.3">
      <c r="A16" s="2" t="s">
        <v>56</v>
      </c>
      <c r="B16" s="2" t="s">
        <v>100</v>
      </c>
      <c r="C16" s="2">
        <v>280</v>
      </c>
      <c r="D16" s="2" t="s">
        <v>17</v>
      </c>
      <c r="E16" s="2" t="s">
        <v>17</v>
      </c>
      <c r="F16" s="2" t="s">
        <v>144</v>
      </c>
      <c r="G16" s="2" t="s">
        <v>188</v>
      </c>
      <c r="H16" s="2" t="s">
        <v>22</v>
      </c>
      <c r="I16" s="2" t="s">
        <v>232</v>
      </c>
      <c r="J16" s="4">
        <v>1000001001</v>
      </c>
      <c r="K16" s="5">
        <v>45196</v>
      </c>
      <c r="L16" s="2" t="str">
        <f ca="1">IF(Table323[[#This Row],[Sequence Status]]="Replied", Table323[[#This Row],[Sequence Step]],IF(TODAY()-K16&lt;=8,"Step 1",IF(TODAY()-K16&lt;=16,"Step 2",IF(TODAY()-K16&lt;=24,"Step 3",IF(TODAY()-K16&lt;=31,"Step 4",IF(TODAY()-K16&lt;=38,"Step 5",IF(TODAY()-K16&lt;=41,"Step 6","")))))))</f>
        <v/>
      </c>
      <c r="M16" s="2" t="s">
        <v>20</v>
      </c>
      <c r="N16" s="2" t="s">
        <v>16</v>
      </c>
    </row>
    <row r="17" spans="1:14" ht="28.8" x14ac:dyDescent="0.3">
      <c r="A17" s="2" t="s">
        <v>57</v>
      </c>
      <c r="B17" s="2" t="s">
        <v>101</v>
      </c>
      <c r="C17" s="2">
        <v>130</v>
      </c>
      <c r="D17" s="2" t="s">
        <v>17</v>
      </c>
      <c r="E17" s="2" t="s">
        <v>17</v>
      </c>
      <c r="F17" s="2" t="s">
        <v>145</v>
      </c>
      <c r="G17" s="2" t="s">
        <v>189</v>
      </c>
      <c r="H17" s="2" t="s">
        <v>25</v>
      </c>
      <c r="I17" s="2" t="s">
        <v>233</v>
      </c>
      <c r="J17" s="4">
        <v>1000001001</v>
      </c>
      <c r="K17" s="5">
        <v>45196</v>
      </c>
      <c r="L17" s="2" t="str">
        <f ca="1">IF(Table323[[#This Row],[Sequence Status]]="Replied", Table323[[#This Row],[Sequence Step]],IF(TODAY()-K17&lt;=8,"Step 1",IF(TODAY()-K17&lt;=16,"Step 2",IF(TODAY()-K17&lt;=24,"Step 3",IF(TODAY()-K17&lt;=31,"Step 4",IF(TODAY()-K17&lt;=38,"Step 5",IF(TODAY()-K17&lt;=41,"Step 6","")))))))</f>
        <v/>
      </c>
      <c r="M17" s="2" t="s">
        <v>20</v>
      </c>
      <c r="N17" s="2" t="s">
        <v>16</v>
      </c>
    </row>
    <row r="18" spans="1:14" ht="72" x14ac:dyDescent="0.3">
      <c r="A18" s="2" t="s">
        <v>58</v>
      </c>
      <c r="B18" s="2" t="s">
        <v>102</v>
      </c>
      <c r="C18" s="2">
        <v>1400</v>
      </c>
      <c r="D18" s="2" t="s">
        <v>17</v>
      </c>
      <c r="E18" s="2" t="s">
        <v>17</v>
      </c>
      <c r="F18" s="2" t="s">
        <v>146</v>
      </c>
      <c r="G18" s="2" t="s">
        <v>190</v>
      </c>
      <c r="H18" s="2" t="s">
        <v>32</v>
      </c>
      <c r="I18" s="2" t="s">
        <v>234</v>
      </c>
      <c r="J18" s="4">
        <v>1000001001</v>
      </c>
      <c r="K18" s="5">
        <v>45196</v>
      </c>
      <c r="L18" s="2" t="str">
        <f ca="1">IF(Table323[[#This Row],[Sequence Status]]="Replied", Table323[[#This Row],[Sequence Step]],IF(TODAY()-K18&lt;=8,"Step 1",IF(TODAY()-K18&lt;=16,"Step 2",IF(TODAY()-K18&lt;=24,"Step 3",IF(TODAY()-K18&lt;=31,"Step 4",IF(TODAY()-K18&lt;=38,"Step 5",IF(TODAY()-K18&lt;=41,"Step 6","")))))))</f>
        <v/>
      </c>
      <c r="M18" s="2" t="s">
        <v>20</v>
      </c>
      <c r="N18" s="2" t="s">
        <v>16</v>
      </c>
    </row>
    <row r="19" spans="1:14" ht="28.8" x14ac:dyDescent="0.3">
      <c r="A19" s="2" t="s">
        <v>59</v>
      </c>
      <c r="B19" s="2" t="s">
        <v>103</v>
      </c>
      <c r="C19" s="2">
        <v>311000</v>
      </c>
      <c r="D19" s="2" t="s">
        <v>17</v>
      </c>
      <c r="E19" s="2" t="s">
        <v>17</v>
      </c>
      <c r="F19" s="2" t="s">
        <v>147</v>
      </c>
      <c r="G19" s="2" t="s">
        <v>191</v>
      </c>
      <c r="H19" s="2" t="s">
        <v>33</v>
      </c>
      <c r="I19" s="2" t="s">
        <v>235</v>
      </c>
      <c r="J19" s="4">
        <v>1000001001</v>
      </c>
      <c r="K19" s="5">
        <v>45196</v>
      </c>
      <c r="L19" s="2" t="str">
        <f ca="1">IF(Table323[[#This Row],[Sequence Status]]="Replied", Table323[[#This Row],[Sequence Step]],IF(TODAY()-K19&lt;=8,"Step 1",IF(TODAY()-K19&lt;=16,"Step 2",IF(TODAY()-K19&lt;=24,"Step 3",IF(TODAY()-K19&lt;=31,"Step 4",IF(TODAY()-K19&lt;=38,"Step 5",IF(TODAY()-K19&lt;=41,"Step 6","")))))))</f>
        <v/>
      </c>
      <c r="M19" s="2" t="s">
        <v>20</v>
      </c>
      <c r="N19" s="2" t="s">
        <v>16</v>
      </c>
    </row>
    <row r="20" spans="1:14" ht="28.8" x14ac:dyDescent="0.3">
      <c r="A20" s="2" t="s">
        <v>60</v>
      </c>
      <c r="B20" s="2" t="s">
        <v>104</v>
      </c>
      <c r="C20" s="2">
        <v>180</v>
      </c>
      <c r="D20" s="2" t="s">
        <v>17</v>
      </c>
      <c r="E20" s="2" t="s">
        <v>17</v>
      </c>
      <c r="F20" s="2" t="s">
        <v>148</v>
      </c>
      <c r="G20" s="2" t="s">
        <v>192</v>
      </c>
      <c r="H20" s="2" t="s">
        <v>21</v>
      </c>
      <c r="I20" s="2" t="s">
        <v>236</v>
      </c>
      <c r="J20" s="4">
        <v>1000001001</v>
      </c>
      <c r="K20" s="5">
        <v>45196</v>
      </c>
      <c r="L20" s="2" t="str">
        <f ca="1">IF(Table323[[#This Row],[Sequence Status]]="Replied", Table323[[#This Row],[Sequence Step]],IF(TODAY()-K20&lt;=8,"Step 1",IF(TODAY()-K20&lt;=16,"Step 2",IF(TODAY()-K20&lt;=24,"Step 3",IF(TODAY()-K20&lt;=31,"Step 4",IF(TODAY()-K20&lt;=38,"Step 5",IF(TODAY()-K20&lt;=41,"Step 6","")))))))</f>
        <v/>
      </c>
      <c r="M20" s="2" t="s">
        <v>20</v>
      </c>
      <c r="N20" s="2" t="s">
        <v>16</v>
      </c>
    </row>
    <row r="21" spans="1:14" ht="43.2" x14ac:dyDescent="0.3">
      <c r="A21" s="2" t="s">
        <v>61</v>
      </c>
      <c r="B21" s="2" t="s">
        <v>105</v>
      </c>
      <c r="C21" s="2">
        <v>1300</v>
      </c>
      <c r="D21" s="2" t="s">
        <v>17</v>
      </c>
      <c r="E21" s="2" t="s">
        <v>17</v>
      </c>
      <c r="F21" s="2" t="s">
        <v>149</v>
      </c>
      <c r="G21" s="2" t="s">
        <v>193</v>
      </c>
      <c r="H21" s="2" t="s">
        <v>34</v>
      </c>
      <c r="I21" s="2" t="s">
        <v>237</v>
      </c>
      <c r="J21" s="4">
        <v>1000001001</v>
      </c>
      <c r="K21" s="5">
        <v>45196</v>
      </c>
      <c r="L21" s="2" t="str">
        <f ca="1">IF(Table323[[#This Row],[Sequence Status]]="Replied", Table323[[#This Row],[Sequence Step]],IF(TODAY()-K21&lt;=8,"Step 1",IF(TODAY()-K21&lt;=16,"Step 2",IF(TODAY()-K21&lt;=24,"Step 3",IF(TODAY()-K21&lt;=31,"Step 4",IF(TODAY()-K21&lt;=38,"Step 5",IF(TODAY()-K21&lt;=41,"Step 6","")))))))</f>
        <v/>
      </c>
      <c r="M21" s="2" t="s">
        <v>20</v>
      </c>
      <c r="N21" s="2" t="s">
        <v>16</v>
      </c>
    </row>
    <row r="22" spans="1:14" ht="28.8" x14ac:dyDescent="0.3">
      <c r="A22" s="2" t="s">
        <v>62</v>
      </c>
      <c r="B22" s="2" t="s">
        <v>106</v>
      </c>
      <c r="C22" s="2">
        <v>170</v>
      </c>
      <c r="D22" s="2" t="s">
        <v>17</v>
      </c>
      <c r="E22" s="2" t="s">
        <v>17</v>
      </c>
      <c r="F22" s="2" t="s">
        <v>150</v>
      </c>
      <c r="G22" s="2" t="s">
        <v>194</v>
      </c>
      <c r="H22" s="2" t="s">
        <v>23</v>
      </c>
      <c r="I22" s="2" t="s">
        <v>238</v>
      </c>
      <c r="J22" s="4">
        <v>1000001001</v>
      </c>
      <c r="K22" s="5">
        <v>45196</v>
      </c>
      <c r="L22" s="2" t="str">
        <f ca="1">IF(Table323[[#This Row],[Sequence Status]]="Replied", Table323[[#This Row],[Sequence Step]],IF(TODAY()-K22&lt;=8,"Step 1",IF(TODAY()-K22&lt;=16,"Step 2",IF(TODAY()-K22&lt;=24,"Step 3",IF(TODAY()-K22&lt;=31,"Step 4",IF(TODAY()-K22&lt;=38,"Step 5",IF(TODAY()-K22&lt;=41,"Step 6","")))))))</f>
        <v/>
      </c>
      <c r="M22" s="2" t="s">
        <v>20</v>
      </c>
      <c r="N22" s="2" t="s">
        <v>16</v>
      </c>
    </row>
    <row r="23" spans="1:14" ht="28.8" x14ac:dyDescent="0.3">
      <c r="A23" s="2" t="s">
        <v>63</v>
      </c>
      <c r="B23" s="2" t="s">
        <v>107</v>
      </c>
      <c r="C23" s="2">
        <v>370</v>
      </c>
      <c r="D23" s="2" t="s">
        <v>17</v>
      </c>
      <c r="E23" s="2" t="s">
        <v>17</v>
      </c>
      <c r="F23" s="2" t="s">
        <v>151</v>
      </c>
      <c r="G23" s="2" t="s">
        <v>195</v>
      </c>
      <c r="H23" s="2" t="s">
        <v>22</v>
      </c>
      <c r="I23" s="2" t="s">
        <v>239</v>
      </c>
      <c r="J23" s="4">
        <v>1000001001</v>
      </c>
      <c r="K23" s="5">
        <v>45196</v>
      </c>
      <c r="L23" s="2" t="str">
        <f ca="1">IF(Table323[[#This Row],[Sequence Status]]="Replied", Table323[[#This Row],[Sequence Step]],IF(TODAY()-K23&lt;=8,"Step 1",IF(TODAY()-K23&lt;=16,"Step 2",IF(TODAY()-K23&lt;=24,"Step 3",IF(TODAY()-K23&lt;=31,"Step 4",IF(TODAY()-K23&lt;=38,"Step 5",IF(TODAY()-K23&lt;=41,"Step 6","")))))))</f>
        <v/>
      </c>
      <c r="M23" s="2" t="s">
        <v>20</v>
      </c>
      <c r="N23" s="2" t="s">
        <v>16</v>
      </c>
    </row>
    <row r="24" spans="1:14" ht="57.6" x14ac:dyDescent="0.3">
      <c r="A24" s="2" t="s">
        <v>64</v>
      </c>
      <c r="B24" s="2" t="s">
        <v>108</v>
      </c>
      <c r="C24" s="2">
        <v>200</v>
      </c>
      <c r="D24" s="2" t="s">
        <v>17</v>
      </c>
      <c r="E24" s="2" t="s">
        <v>17</v>
      </c>
      <c r="F24" s="2" t="s">
        <v>152</v>
      </c>
      <c r="G24" s="2" t="s">
        <v>196</v>
      </c>
      <c r="H24" s="2" t="s">
        <v>35</v>
      </c>
      <c r="I24" s="2" t="s">
        <v>240</v>
      </c>
      <c r="J24" s="4">
        <v>1000001001</v>
      </c>
      <c r="K24" s="5">
        <v>45196</v>
      </c>
      <c r="L24" s="2" t="str">
        <f ca="1">IF(Table323[[#This Row],[Sequence Status]]="Replied", Table323[[#This Row],[Sequence Step]],IF(TODAY()-K24&lt;=8,"Step 1",IF(TODAY()-K24&lt;=16,"Step 2",IF(TODAY()-K24&lt;=24,"Step 3",IF(TODAY()-K24&lt;=31,"Step 4",IF(TODAY()-K24&lt;=38,"Step 5",IF(TODAY()-K24&lt;=41,"Step 6","")))))))</f>
        <v/>
      </c>
      <c r="M24" s="2" t="s">
        <v>20</v>
      </c>
      <c r="N24" s="2" t="s">
        <v>16</v>
      </c>
    </row>
    <row r="25" spans="1:14" ht="57.6" x14ac:dyDescent="0.3">
      <c r="A25" s="2" t="s">
        <v>65</v>
      </c>
      <c r="B25" s="2" t="s">
        <v>109</v>
      </c>
      <c r="C25" s="2">
        <v>5300</v>
      </c>
      <c r="D25" s="2" t="s">
        <v>17</v>
      </c>
      <c r="E25" s="2" t="s">
        <v>17</v>
      </c>
      <c r="F25" s="2" t="s">
        <v>153</v>
      </c>
      <c r="G25" s="2" t="s">
        <v>197</v>
      </c>
      <c r="H25" s="2" t="s">
        <v>36</v>
      </c>
      <c r="I25" s="2" t="s">
        <v>241</v>
      </c>
      <c r="J25" s="4">
        <v>1000001001</v>
      </c>
      <c r="K25" s="5">
        <v>45196</v>
      </c>
      <c r="L25" s="2" t="str">
        <f ca="1">IF(Table323[[#This Row],[Sequence Status]]="Replied", Table323[[#This Row],[Sequence Step]],IF(TODAY()-K25&lt;=8,"Step 1",IF(TODAY()-K25&lt;=16,"Step 2",IF(TODAY()-K25&lt;=24,"Step 3",IF(TODAY()-K25&lt;=31,"Step 4",IF(TODAY()-K25&lt;=38,"Step 5",IF(TODAY()-K25&lt;=41,"Step 6","")))))))</f>
        <v/>
      </c>
      <c r="M25" s="2" t="s">
        <v>20</v>
      </c>
      <c r="N25" s="2" t="s">
        <v>16</v>
      </c>
    </row>
    <row r="26" spans="1:14" ht="28.8" x14ac:dyDescent="0.3">
      <c r="A26" s="2" t="s">
        <v>66</v>
      </c>
      <c r="B26" s="2" t="s">
        <v>110</v>
      </c>
      <c r="C26" s="2">
        <v>4600</v>
      </c>
      <c r="D26" s="2" t="s">
        <v>17</v>
      </c>
      <c r="E26" s="2" t="s">
        <v>17</v>
      </c>
      <c r="F26" s="2" t="s">
        <v>154</v>
      </c>
      <c r="G26" s="2" t="s">
        <v>198</v>
      </c>
      <c r="H26" s="2" t="s">
        <v>24</v>
      </c>
      <c r="I26" s="2" t="s">
        <v>242</v>
      </c>
      <c r="J26" s="4">
        <v>1000001001</v>
      </c>
      <c r="K26" s="5">
        <v>45196</v>
      </c>
      <c r="L26" s="2" t="str">
        <f ca="1">IF(Table323[[#This Row],[Sequence Status]]="Replied", Table323[[#This Row],[Sequence Step]],IF(TODAY()-K26&lt;=8,"Step 1",IF(TODAY()-K26&lt;=16,"Step 2",IF(TODAY()-K26&lt;=24,"Step 3",IF(TODAY()-K26&lt;=31,"Step 4",IF(TODAY()-K26&lt;=38,"Step 5",IF(TODAY()-K26&lt;=41,"Step 6","")))))))</f>
        <v/>
      </c>
      <c r="M26" s="2" t="s">
        <v>20</v>
      </c>
      <c r="N26" s="2" t="s">
        <v>16</v>
      </c>
    </row>
    <row r="27" spans="1:14" ht="43.2" x14ac:dyDescent="0.3">
      <c r="A27" s="2" t="s">
        <v>67</v>
      </c>
      <c r="B27" s="2" t="s">
        <v>111</v>
      </c>
      <c r="C27" s="2">
        <v>350</v>
      </c>
      <c r="D27" s="2" t="s">
        <v>17</v>
      </c>
      <c r="E27" s="2" t="s">
        <v>17</v>
      </c>
      <c r="F27" s="2" t="s">
        <v>155</v>
      </c>
      <c r="G27" s="2" t="s">
        <v>199</v>
      </c>
      <c r="H27" s="2" t="s">
        <v>37</v>
      </c>
      <c r="I27" s="2" t="s">
        <v>243</v>
      </c>
      <c r="J27" s="4">
        <v>1000001001</v>
      </c>
      <c r="K27" s="5">
        <v>45196</v>
      </c>
      <c r="L27" s="2" t="str">
        <f ca="1">IF(Table323[[#This Row],[Sequence Status]]="Replied", Table323[[#This Row],[Sequence Step]],IF(TODAY()-K27&lt;=8,"Step 1",IF(TODAY()-K27&lt;=16,"Step 2",IF(TODAY()-K27&lt;=24,"Step 3",IF(TODAY()-K27&lt;=31,"Step 4",IF(TODAY()-K27&lt;=38,"Step 5",IF(TODAY()-K27&lt;=41,"Step 6","")))))))</f>
        <v/>
      </c>
      <c r="M27" s="2" t="s">
        <v>20</v>
      </c>
      <c r="N27" s="2" t="s">
        <v>16</v>
      </c>
    </row>
    <row r="28" spans="1:14" ht="28.8" x14ac:dyDescent="0.3">
      <c r="A28" s="2" t="s">
        <v>68</v>
      </c>
      <c r="B28" s="2" t="s">
        <v>112</v>
      </c>
      <c r="C28" s="2">
        <v>300</v>
      </c>
      <c r="D28" s="2" t="s">
        <v>17</v>
      </c>
      <c r="E28" s="2" t="s">
        <v>17</v>
      </c>
      <c r="F28" s="2" t="s">
        <v>156</v>
      </c>
      <c r="G28" s="2" t="s">
        <v>200</v>
      </c>
      <c r="H28" s="2" t="s">
        <v>38</v>
      </c>
      <c r="I28" s="2" t="s">
        <v>244</v>
      </c>
      <c r="J28" s="4">
        <v>1000001001</v>
      </c>
      <c r="K28" s="5">
        <v>45196</v>
      </c>
      <c r="L28" s="2" t="str">
        <f ca="1">IF(Table323[[#This Row],[Sequence Status]]="Replied", Table323[[#This Row],[Sequence Step]],IF(TODAY()-K28&lt;=8,"Step 1",IF(TODAY()-K28&lt;=16,"Step 2",IF(TODAY()-K28&lt;=24,"Step 3",IF(TODAY()-K28&lt;=31,"Step 4",IF(TODAY()-K28&lt;=38,"Step 5",IF(TODAY()-K28&lt;=41,"Step 6","")))))))</f>
        <v/>
      </c>
      <c r="M28" s="2" t="s">
        <v>20</v>
      </c>
      <c r="N28" s="2" t="s">
        <v>16</v>
      </c>
    </row>
    <row r="29" spans="1:14" ht="28.8" x14ac:dyDescent="0.3">
      <c r="A29" s="2" t="s">
        <v>69</v>
      </c>
      <c r="B29" s="2" t="s">
        <v>113</v>
      </c>
      <c r="C29" s="2">
        <v>240</v>
      </c>
      <c r="D29" s="2" t="s">
        <v>17</v>
      </c>
      <c r="E29" s="2" t="s">
        <v>17</v>
      </c>
      <c r="F29" s="2" t="s">
        <v>157</v>
      </c>
      <c r="G29" s="2" t="s">
        <v>201</v>
      </c>
      <c r="H29" s="2" t="s">
        <v>38</v>
      </c>
      <c r="I29" s="2" t="s">
        <v>245</v>
      </c>
      <c r="J29" s="4">
        <v>1000001001</v>
      </c>
      <c r="K29" s="5">
        <v>45196</v>
      </c>
      <c r="L29" s="2" t="str">
        <f ca="1">IF(Table323[[#This Row],[Sequence Status]]="Replied", Table323[[#This Row],[Sequence Step]],IF(TODAY()-K29&lt;=8,"Step 1",IF(TODAY()-K29&lt;=16,"Step 2",IF(TODAY()-K29&lt;=24,"Step 3",IF(TODAY()-K29&lt;=31,"Step 4",IF(TODAY()-K29&lt;=38,"Step 5",IF(TODAY()-K29&lt;=41,"Step 6","")))))))</f>
        <v/>
      </c>
      <c r="M29" s="2" t="s">
        <v>20</v>
      </c>
      <c r="N29" s="2" t="s">
        <v>16</v>
      </c>
    </row>
    <row r="30" spans="1:14" ht="28.8" x14ac:dyDescent="0.3">
      <c r="A30" s="2" t="s">
        <v>70</v>
      </c>
      <c r="B30" s="2" t="s">
        <v>114</v>
      </c>
      <c r="C30" s="2">
        <v>2200</v>
      </c>
      <c r="D30" s="2" t="s">
        <v>17</v>
      </c>
      <c r="E30" s="2" t="s">
        <v>17</v>
      </c>
      <c r="F30" s="2" t="s">
        <v>158</v>
      </c>
      <c r="G30" s="2" t="s">
        <v>202</v>
      </c>
      <c r="H30" s="2" t="s">
        <v>22</v>
      </c>
      <c r="I30" s="2" t="s">
        <v>246</v>
      </c>
      <c r="J30" s="4">
        <v>1000001001</v>
      </c>
      <c r="K30" s="5">
        <v>45196</v>
      </c>
      <c r="L30" s="2" t="str">
        <f ca="1">IF(Table323[[#This Row],[Sequence Status]]="Replied", Table323[[#This Row],[Sequence Step]],IF(TODAY()-K30&lt;=8,"Step 1",IF(TODAY()-K30&lt;=16,"Step 2",IF(TODAY()-K30&lt;=24,"Step 3",IF(TODAY()-K30&lt;=31,"Step 4",IF(TODAY()-K30&lt;=38,"Step 5",IF(TODAY()-K30&lt;=41,"Step 6","")))))))</f>
        <v/>
      </c>
      <c r="M30" s="2" t="s">
        <v>20</v>
      </c>
      <c r="N30" s="2" t="s">
        <v>16</v>
      </c>
    </row>
    <row r="31" spans="1:14" ht="28.8" x14ac:dyDescent="0.3">
      <c r="A31" s="2" t="s">
        <v>71</v>
      </c>
      <c r="B31" s="2" t="s">
        <v>115</v>
      </c>
      <c r="C31" s="2">
        <v>220</v>
      </c>
      <c r="D31" s="2" t="s">
        <v>17</v>
      </c>
      <c r="E31" s="2" t="s">
        <v>17</v>
      </c>
      <c r="F31" s="2" t="s">
        <v>159</v>
      </c>
      <c r="G31" s="2" t="s">
        <v>203</v>
      </c>
      <c r="H31" s="2" t="s">
        <v>22</v>
      </c>
      <c r="I31" s="2" t="s">
        <v>247</v>
      </c>
      <c r="J31" s="4">
        <v>1000001001</v>
      </c>
      <c r="K31" s="5">
        <v>45196</v>
      </c>
      <c r="L31" s="2" t="str">
        <f ca="1">IF(Table323[[#This Row],[Sequence Status]]="Replied", Table323[[#This Row],[Sequence Step]],IF(TODAY()-K31&lt;=8,"Step 1",IF(TODAY()-K31&lt;=16,"Step 2",IF(TODAY()-K31&lt;=24,"Step 3",IF(TODAY()-K31&lt;=31,"Step 4",IF(TODAY()-K31&lt;=38,"Step 5",IF(TODAY()-K31&lt;=41,"Step 6","")))))))</f>
        <v/>
      </c>
      <c r="M31" s="2" t="s">
        <v>20</v>
      </c>
      <c r="N31" s="2" t="s">
        <v>16</v>
      </c>
    </row>
    <row r="32" spans="1:14" ht="28.8" x14ac:dyDescent="0.3">
      <c r="A32" s="2" t="s">
        <v>72</v>
      </c>
      <c r="B32" s="2" t="s">
        <v>116</v>
      </c>
      <c r="C32" s="2">
        <v>120</v>
      </c>
      <c r="D32" s="2" t="s">
        <v>17</v>
      </c>
      <c r="E32" s="2" t="s">
        <v>17</v>
      </c>
      <c r="F32" s="2" t="s">
        <v>160</v>
      </c>
      <c r="G32" s="2" t="s">
        <v>204</v>
      </c>
      <c r="H32" s="2" t="s">
        <v>22</v>
      </c>
      <c r="I32" s="2" t="s">
        <v>248</v>
      </c>
      <c r="J32" s="4">
        <v>1000001001</v>
      </c>
      <c r="K32" s="5">
        <v>45196</v>
      </c>
      <c r="L32" s="2" t="str">
        <f ca="1">IF(Table323[[#This Row],[Sequence Status]]="Replied", Table323[[#This Row],[Sequence Step]],IF(TODAY()-K32&lt;=8,"Step 1",IF(TODAY()-K32&lt;=16,"Step 2",IF(TODAY()-K32&lt;=24,"Step 3",IF(TODAY()-K32&lt;=31,"Step 4",IF(TODAY()-K32&lt;=38,"Step 5",IF(TODAY()-K32&lt;=41,"Step 6","")))))))</f>
        <v/>
      </c>
      <c r="M32" s="2" t="s">
        <v>20</v>
      </c>
      <c r="N32" s="2" t="s">
        <v>16</v>
      </c>
    </row>
    <row r="33" spans="1:14" ht="72" x14ac:dyDescent="0.3">
      <c r="A33" s="2" t="s">
        <v>73</v>
      </c>
      <c r="B33" s="2" t="s">
        <v>117</v>
      </c>
      <c r="C33" s="2">
        <v>540</v>
      </c>
      <c r="D33" s="2" t="s">
        <v>17</v>
      </c>
      <c r="E33" s="2" t="s">
        <v>17</v>
      </c>
      <c r="F33" s="2" t="s">
        <v>161</v>
      </c>
      <c r="G33" s="2" t="s">
        <v>205</v>
      </c>
      <c r="H33" s="2" t="s">
        <v>27</v>
      </c>
      <c r="I33" s="2" t="s">
        <v>249</v>
      </c>
      <c r="J33" s="4">
        <v>1000001001</v>
      </c>
      <c r="K33" s="5">
        <v>45196</v>
      </c>
      <c r="L33" s="2" t="str">
        <f ca="1">IF(Table323[[#This Row],[Sequence Status]]="Replied", Table323[[#This Row],[Sequence Step]],IF(TODAY()-K33&lt;=8,"Step 1",IF(TODAY()-K33&lt;=16,"Step 2",IF(TODAY()-K33&lt;=24,"Step 3",IF(TODAY()-K33&lt;=31,"Step 4",IF(TODAY()-K33&lt;=38,"Step 5",IF(TODAY()-K33&lt;=41,"Step 6","")))))))</f>
        <v/>
      </c>
      <c r="M33" s="2" t="s">
        <v>20</v>
      </c>
      <c r="N33" s="2" t="s">
        <v>16</v>
      </c>
    </row>
    <row r="34" spans="1:14" ht="28.8" x14ac:dyDescent="0.3">
      <c r="A34" s="2" t="s">
        <v>74</v>
      </c>
      <c r="B34" s="2" t="s">
        <v>118</v>
      </c>
      <c r="C34" s="2">
        <v>360</v>
      </c>
      <c r="D34" s="2" t="s">
        <v>17</v>
      </c>
      <c r="E34" s="2" t="s">
        <v>17</v>
      </c>
      <c r="F34" s="2" t="s">
        <v>162</v>
      </c>
      <c r="G34" s="2" t="s">
        <v>206</v>
      </c>
      <c r="H34" s="2" t="s">
        <v>24</v>
      </c>
      <c r="I34" s="2" t="s">
        <v>250</v>
      </c>
      <c r="J34" s="4">
        <v>1000001001</v>
      </c>
      <c r="K34" s="5">
        <v>45196</v>
      </c>
      <c r="L34" s="2" t="str">
        <f ca="1">IF(Table323[[#This Row],[Sequence Status]]="Replied", Table323[[#This Row],[Sequence Step]],IF(TODAY()-K34&lt;=8,"Step 1",IF(TODAY()-K34&lt;=16,"Step 2",IF(TODAY()-K34&lt;=24,"Step 3",IF(TODAY()-K34&lt;=31,"Step 4",IF(TODAY()-K34&lt;=38,"Step 5",IF(TODAY()-K34&lt;=41,"Step 6","")))))))</f>
        <v/>
      </c>
      <c r="M34" s="2" t="s">
        <v>20</v>
      </c>
      <c r="N34" s="2" t="s">
        <v>16</v>
      </c>
    </row>
    <row r="35" spans="1:14" ht="28.8" x14ac:dyDescent="0.3">
      <c r="A35" s="2" t="s">
        <v>75</v>
      </c>
      <c r="B35" s="2" t="s">
        <v>119</v>
      </c>
      <c r="C35" s="2">
        <v>580</v>
      </c>
      <c r="D35" s="2" t="s">
        <v>17</v>
      </c>
      <c r="E35" s="2" t="s">
        <v>17</v>
      </c>
      <c r="F35" s="2" t="s">
        <v>163</v>
      </c>
      <c r="G35" s="2" t="s">
        <v>207</v>
      </c>
      <c r="H35" s="2" t="s">
        <v>22</v>
      </c>
      <c r="I35" s="2" t="s">
        <v>251</v>
      </c>
      <c r="J35" s="4">
        <v>1000001001</v>
      </c>
      <c r="K35" s="5">
        <v>45196</v>
      </c>
      <c r="L35" s="2" t="str">
        <f ca="1">IF(Table323[[#This Row],[Sequence Status]]="Replied", Table323[[#This Row],[Sequence Step]],IF(TODAY()-K35&lt;=8,"Step 1",IF(TODAY()-K35&lt;=16,"Step 2",IF(TODAY()-K35&lt;=24,"Step 3",IF(TODAY()-K35&lt;=31,"Step 4",IF(TODAY()-K35&lt;=38,"Step 5",IF(TODAY()-K35&lt;=41,"Step 6","")))))))</f>
        <v/>
      </c>
      <c r="M35" s="2" t="s">
        <v>20</v>
      </c>
      <c r="N35" s="2" t="s">
        <v>16</v>
      </c>
    </row>
    <row r="36" spans="1:14" ht="28.8" x14ac:dyDescent="0.3">
      <c r="A36" s="2" t="s">
        <v>76</v>
      </c>
      <c r="B36" s="2" t="s">
        <v>120</v>
      </c>
      <c r="C36" s="2">
        <v>18</v>
      </c>
      <c r="D36" s="2" t="s">
        <v>17</v>
      </c>
      <c r="E36" s="2" t="s">
        <v>17</v>
      </c>
      <c r="F36" s="2" t="s">
        <v>164</v>
      </c>
      <c r="G36" s="2" t="s">
        <v>208</v>
      </c>
      <c r="H36" s="2" t="s">
        <v>23</v>
      </c>
      <c r="I36" s="2" t="s">
        <v>252</v>
      </c>
      <c r="J36" s="4">
        <v>1000001001</v>
      </c>
      <c r="K36" s="5">
        <v>45196</v>
      </c>
      <c r="L36" s="2" t="str">
        <f ca="1">IF(Table323[[#This Row],[Sequence Status]]="Replied", Table323[[#This Row],[Sequence Step]],IF(TODAY()-K36&lt;=8,"Step 1",IF(TODAY()-K36&lt;=16,"Step 2",IF(TODAY()-K36&lt;=24,"Step 3",IF(TODAY()-K36&lt;=31,"Step 4",IF(TODAY()-K36&lt;=38,"Step 5",IF(TODAY()-K36&lt;=41,"Step 6","")))))))</f>
        <v/>
      </c>
      <c r="M36" s="2" t="s">
        <v>20</v>
      </c>
      <c r="N36" s="2" t="s">
        <v>16</v>
      </c>
    </row>
    <row r="37" spans="1:14" ht="28.8" x14ac:dyDescent="0.3">
      <c r="A37" s="2" t="s">
        <v>77</v>
      </c>
      <c r="B37" s="2" t="s">
        <v>121</v>
      </c>
      <c r="C37" s="2">
        <v>310</v>
      </c>
      <c r="D37" s="2" t="s">
        <v>17</v>
      </c>
      <c r="E37" s="2" t="s">
        <v>17</v>
      </c>
      <c r="F37" s="2" t="s">
        <v>165</v>
      </c>
      <c r="G37" s="2" t="s">
        <v>209</v>
      </c>
      <c r="H37" s="2" t="s">
        <v>22</v>
      </c>
      <c r="I37" s="2" t="s">
        <v>253</v>
      </c>
      <c r="J37" s="4">
        <v>1000001001</v>
      </c>
      <c r="K37" s="5">
        <v>45196</v>
      </c>
      <c r="L37" s="2" t="str">
        <f ca="1">IF(Table323[[#This Row],[Sequence Status]]="Replied", Table323[[#This Row],[Sequence Step]],IF(TODAY()-K37&lt;=8,"Step 1",IF(TODAY()-K37&lt;=16,"Step 2",IF(TODAY()-K37&lt;=24,"Step 3",IF(TODAY()-K37&lt;=31,"Step 4",IF(TODAY()-K37&lt;=38,"Step 5",IF(TODAY()-K37&lt;=41,"Step 6","")))))))</f>
        <v/>
      </c>
      <c r="M37" s="2" t="s">
        <v>20</v>
      </c>
      <c r="N37" s="2" t="s">
        <v>16</v>
      </c>
    </row>
    <row r="38" spans="1:14" ht="72" x14ac:dyDescent="0.3">
      <c r="A38" s="2" t="s">
        <v>78</v>
      </c>
      <c r="B38" s="2" t="s">
        <v>122</v>
      </c>
      <c r="C38" s="2">
        <v>1200</v>
      </c>
      <c r="D38" s="2" t="s">
        <v>17</v>
      </c>
      <c r="E38" s="2" t="s">
        <v>17</v>
      </c>
      <c r="F38" s="2" t="s">
        <v>166</v>
      </c>
      <c r="G38" s="2" t="s">
        <v>210</v>
      </c>
      <c r="H38" s="2" t="s">
        <v>39</v>
      </c>
      <c r="I38" s="2" t="s">
        <v>254</v>
      </c>
      <c r="J38" s="4">
        <v>1000001001</v>
      </c>
      <c r="K38" s="5">
        <v>45196</v>
      </c>
      <c r="L38" s="2" t="str">
        <f ca="1">IF(Table323[[#This Row],[Sequence Status]]="Replied", Table323[[#This Row],[Sequence Step]],IF(TODAY()-K38&lt;=8,"Step 1",IF(TODAY()-K38&lt;=16,"Step 2",IF(TODAY()-K38&lt;=24,"Step 3",IF(TODAY()-K38&lt;=31,"Step 4",IF(TODAY()-K38&lt;=38,"Step 5",IF(TODAY()-K38&lt;=41,"Step 6","")))))))</f>
        <v/>
      </c>
      <c r="M38" s="2" t="s">
        <v>20</v>
      </c>
      <c r="N38" s="2" t="s">
        <v>16</v>
      </c>
    </row>
    <row r="39" spans="1:14" ht="28.8" x14ac:dyDescent="0.3">
      <c r="A39" s="2" t="s">
        <v>79</v>
      </c>
      <c r="B39" s="2" t="s">
        <v>123</v>
      </c>
      <c r="C39" s="2">
        <v>470</v>
      </c>
      <c r="D39" s="2" t="s">
        <v>17</v>
      </c>
      <c r="E39" s="2" t="s">
        <v>17</v>
      </c>
      <c r="F39" s="2" t="s">
        <v>167</v>
      </c>
      <c r="G39" s="2" t="s">
        <v>211</v>
      </c>
      <c r="H39" s="2" t="s">
        <v>24</v>
      </c>
      <c r="I39" s="2" t="s">
        <v>255</v>
      </c>
      <c r="J39" s="4">
        <v>1000001001</v>
      </c>
      <c r="K39" s="5">
        <v>45196</v>
      </c>
      <c r="L39" s="2" t="str">
        <f ca="1">IF(Table323[[#This Row],[Sequence Status]]="Replied", Table323[[#This Row],[Sequence Step]],IF(TODAY()-K39&lt;=8,"Step 1",IF(TODAY()-K39&lt;=16,"Step 2",IF(TODAY()-K39&lt;=24,"Step 3",IF(TODAY()-K39&lt;=31,"Step 4",IF(TODAY()-K39&lt;=38,"Step 5",IF(TODAY()-K39&lt;=41,"Step 6","")))))))</f>
        <v/>
      </c>
      <c r="M39" s="2" t="s">
        <v>20</v>
      </c>
      <c r="N39" s="2" t="s">
        <v>16</v>
      </c>
    </row>
    <row r="40" spans="1:14" ht="28.8" x14ac:dyDescent="0.3">
      <c r="A40" s="2" t="s">
        <v>80</v>
      </c>
      <c r="B40" s="2" t="s">
        <v>124</v>
      </c>
      <c r="C40" s="2">
        <v>630</v>
      </c>
      <c r="D40" s="2" t="s">
        <v>17</v>
      </c>
      <c r="E40" s="2" t="s">
        <v>17</v>
      </c>
      <c r="F40" s="2" t="s">
        <v>168</v>
      </c>
      <c r="G40" s="2" t="s">
        <v>212</v>
      </c>
      <c r="H40" s="2" t="s">
        <v>21</v>
      </c>
      <c r="I40" s="2" t="s">
        <v>256</v>
      </c>
      <c r="J40" s="4">
        <v>1000001001</v>
      </c>
      <c r="K40" s="5">
        <v>45196</v>
      </c>
      <c r="L40" s="2" t="str">
        <f ca="1">IF(Table323[[#This Row],[Sequence Status]]="Replied", Table323[[#This Row],[Sequence Step]],IF(TODAY()-K40&lt;=8,"Step 1",IF(TODAY()-K40&lt;=16,"Step 2",IF(TODAY()-K40&lt;=24,"Step 3",IF(TODAY()-K40&lt;=31,"Step 4",IF(TODAY()-K40&lt;=38,"Step 5",IF(TODAY()-K40&lt;=41,"Step 6","")))))))</f>
        <v/>
      </c>
      <c r="M40" s="2" t="s">
        <v>20</v>
      </c>
      <c r="N40" s="2" t="s">
        <v>16</v>
      </c>
    </row>
    <row r="41" spans="1:14" ht="28.8" x14ac:dyDescent="0.3">
      <c r="A41" s="2" t="s">
        <v>81</v>
      </c>
      <c r="B41" s="2" t="s">
        <v>125</v>
      </c>
      <c r="C41" s="2">
        <v>5900</v>
      </c>
      <c r="D41" s="2" t="s">
        <v>17</v>
      </c>
      <c r="E41" s="2" t="s">
        <v>17</v>
      </c>
      <c r="F41" s="2" t="s">
        <v>169</v>
      </c>
      <c r="G41" s="2" t="s">
        <v>213</v>
      </c>
      <c r="H41" s="2" t="s">
        <v>31</v>
      </c>
      <c r="I41" s="2" t="s">
        <v>257</v>
      </c>
      <c r="J41" s="4">
        <v>1000001001</v>
      </c>
      <c r="K41" s="5">
        <v>45196</v>
      </c>
      <c r="L41" s="2" t="str">
        <f ca="1">IF(Table323[[#This Row],[Sequence Status]]="Replied", Table323[[#This Row],[Sequence Step]],IF(TODAY()-K41&lt;=8,"Step 1",IF(TODAY()-K41&lt;=16,"Step 2",IF(TODAY()-K41&lt;=24,"Step 3",IF(TODAY()-K41&lt;=31,"Step 4",IF(TODAY()-K41&lt;=38,"Step 5",IF(TODAY()-K41&lt;=41,"Step 6","")))))))</f>
        <v/>
      </c>
      <c r="M41" s="2" t="s">
        <v>20</v>
      </c>
      <c r="N41" s="2" t="s">
        <v>16</v>
      </c>
    </row>
    <row r="42" spans="1:14" ht="28.8" x14ac:dyDescent="0.3">
      <c r="A42" s="2" t="s">
        <v>82</v>
      </c>
      <c r="B42" s="2" t="s">
        <v>126</v>
      </c>
      <c r="C42" s="2">
        <v>160</v>
      </c>
      <c r="D42" s="2" t="s">
        <v>17</v>
      </c>
      <c r="E42" s="2" t="s">
        <v>17</v>
      </c>
      <c r="F42" s="2" t="s">
        <v>170</v>
      </c>
      <c r="G42" s="2" t="s">
        <v>214</v>
      </c>
      <c r="H42" s="2" t="s">
        <v>40</v>
      </c>
      <c r="I42" s="2" t="s">
        <v>258</v>
      </c>
      <c r="J42" s="4">
        <v>1000001001</v>
      </c>
      <c r="K42" s="5">
        <v>45196</v>
      </c>
      <c r="L42" s="2" t="str">
        <f ca="1">IF(Table323[[#This Row],[Sequence Status]]="Replied", Table323[[#This Row],[Sequence Step]],IF(TODAY()-K42&lt;=8,"Step 1",IF(TODAY()-K42&lt;=16,"Step 2",IF(TODAY()-K42&lt;=24,"Step 3",IF(TODAY()-K42&lt;=31,"Step 4",IF(TODAY()-K42&lt;=38,"Step 5",IF(TODAY()-K42&lt;=41,"Step 6","")))))))</f>
        <v/>
      </c>
      <c r="M42" s="2" t="s">
        <v>20</v>
      </c>
      <c r="N42" s="2" t="s">
        <v>16</v>
      </c>
    </row>
    <row r="43" spans="1:14" ht="28.8" x14ac:dyDescent="0.3">
      <c r="A43" s="2" t="s">
        <v>83</v>
      </c>
      <c r="B43" s="2" t="s">
        <v>127</v>
      </c>
      <c r="C43" s="2">
        <v>160</v>
      </c>
      <c r="D43" s="2" t="s">
        <v>17</v>
      </c>
      <c r="E43" s="2" t="s">
        <v>17</v>
      </c>
      <c r="F43" s="2" t="s">
        <v>171</v>
      </c>
      <c r="G43" s="2" t="s">
        <v>215</v>
      </c>
      <c r="H43" s="2" t="s">
        <v>38</v>
      </c>
      <c r="I43" s="2" t="s">
        <v>259</v>
      </c>
      <c r="J43" s="4">
        <v>1000001001</v>
      </c>
      <c r="K43" s="5">
        <v>45196</v>
      </c>
      <c r="L43" s="2" t="str">
        <f ca="1">IF(Table323[[#This Row],[Sequence Status]]="Replied", Table323[[#This Row],[Sequence Step]],IF(TODAY()-K43&lt;=8,"Step 1",IF(TODAY()-K43&lt;=16,"Step 2",IF(TODAY()-K43&lt;=24,"Step 3",IF(TODAY()-K43&lt;=31,"Step 4",IF(TODAY()-K43&lt;=38,"Step 5",IF(TODAY()-K43&lt;=41,"Step 6","")))))))</f>
        <v/>
      </c>
      <c r="M43" s="2" t="s">
        <v>20</v>
      </c>
      <c r="N43" s="2" t="s">
        <v>16</v>
      </c>
    </row>
    <row r="44" spans="1:14" ht="57.6" x14ac:dyDescent="0.3">
      <c r="A44" s="2" t="s">
        <v>84</v>
      </c>
      <c r="B44" s="2" t="s">
        <v>128</v>
      </c>
      <c r="C44" s="2">
        <v>200</v>
      </c>
      <c r="D44" s="2" t="s">
        <v>17</v>
      </c>
      <c r="E44" s="2" t="s">
        <v>17</v>
      </c>
      <c r="F44" s="2" t="s">
        <v>172</v>
      </c>
      <c r="G44" s="2" t="s">
        <v>216</v>
      </c>
      <c r="H44" s="2" t="s">
        <v>41</v>
      </c>
      <c r="I44" s="2" t="s">
        <v>260</v>
      </c>
      <c r="J44" s="4">
        <v>1000001001</v>
      </c>
      <c r="K44" s="5">
        <v>45196</v>
      </c>
      <c r="L44" s="2" t="str">
        <f ca="1">IF(Table323[[#This Row],[Sequence Status]]="Replied", Table323[[#This Row],[Sequence Step]],IF(TODAY()-K44&lt;=8,"Step 1",IF(TODAY()-K44&lt;=16,"Step 2",IF(TODAY()-K44&lt;=24,"Step 3",IF(TODAY()-K44&lt;=31,"Step 4",IF(TODAY()-K44&lt;=38,"Step 5",IF(TODAY()-K44&lt;=41,"Step 6","")))))))</f>
        <v/>
      </c>
      <c r="M44" s="2" t="s">
        <v>20</v>
      </c>
      <c r="N44" s="2" t="s">
        <v>16</v>
      </c>
    </row>
    <row r="45" spans="1:14" ht="28.8" x14ac:dyDescent="0.3">
      <c r="A45" s="2" t="s">
        <v>85</v>
      </c>
      <c r="B45" s="2" t="s">
        <v>129</v>
      </c>
      <c r="C45" s="2">
        <v>350</v>
      </c>
      <c r="D45" s="2" t="s">
        <v>17</v>
      </c>
      <c r="E45" s="2" t="s">
        <v>17</v>
      </c>
      <c r="F45" s="2" t="s">
        <v>173</v>
      </c>
      <c r="G45" s="2" t="s">
        <v>217</v>
      </c>
      <c r="H45" s="2" t="s">
        <v>24</v>
      </c>
      <c r="I45" s="2" t="s">
        <v>261</v>
      </c>
      <c r="J45" s="4">
        <v>1000001001</v>
      </c>
      <c r="K45" s="5">
        <v>45196</v>
      </c>
      <c r="L45" s="2" t="str">
        <f ca="1">IF(Table323[[#This Row],[Sequence Status]]="Replied", Table323[[#This Row],[Sequence Step]],IF(TODAY()-K45&lt;=8,"Step 1",IF(TODAY()-K45&lt;=16,"Step 2",IF(TODAY()-K45&lt;=24,"Step 3",IF(TODAY()-K45&lt;=31,"Step 4",IF(TODAY()-K45&lt;=38,"Step 5",IF(TODAY()-K45&lt;=41,"Step 6","")))))))</f>
        <v/>
      </c>
      <c r="M45" s="2" t="s">
        <v>20</v>
      </c>
      <c r="N45" s="2" t="s">
        <v>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automation</vt:lpstr>
      <vt:lpstr>test_sheet</vt:lpstr>
      <vt:lpstr>software</vt:lpstr>
      <vt:lpstr>open_jobs_companies</vt:lpstr>
      <vt:lpstr>hospitality</vt:lpstr>
      <vt:lpstr>all_industries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Hugo Andrade Dos Santos</dc:creator>
  <cp:keywords/>
  <dc:description/>
  <cp:lastModifiedBy>Hugo Andrade</cp:lastModifiedBy>
  <cp:revision/>
  <dcterms:created xsi:type="dcterms:W3CDTF">2023-09-18T18:48:26Z</dcterms:created>
  <dcterms:modified xsi:type="dcterms:W3CDTF">2023-11-08T15:46:44Z</dcterms:modified>
  <cp:category/>
  <cp:contentStatus/>
</cp:coreProperties>
</file>